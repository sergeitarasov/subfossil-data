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sinkifi-my.sharepoint.com/personal/taravser_ad_helsinki_fi/Documents/My_papers/Subfossils/"/>
    </mc:Choice>
  </mc:AlternateContent>
  <xr:revisionPtr revIDLastSave="3" documentId="11_D1DBEDB1FF143511EC9E2A6F3C4F301C2D88C0D5" xr6:coauthVersionLast="47" xr6:coauthVersionMax="47" xr10:uidLastSave="{82657BAC-50AB-A046-A27E-E66896E2B143}"/>
  <bookViews>
    <workbookView xWindow="0" yWindow="740" windowWidth="30240" windowHeight="250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I27" i="1"/>
  <c r="J27" i="1"/>
  <c r="K27" i="1"/>
  <c r="L27" i="1"/>
  <c r="M27" i="1"/>
  <c r="N27" i="1"/>
  <c r="O27" i="1"/>
  <c r="P27" i="1"/>
  <c r="Q27" i="1"/>
  <c r="R27" i="1"/>
  <c r="G27" i="1"/>
  <c r="U22" i="1"/>
  <c r="H22" i="1"/>
  <c r="I22" i="1"/>
  <c r="J22" i="1"/>
  <c r="K22" i="1"/>
  <c r="L22" i="1"/>
  <c r="M22" i="1"/>
  <c r="N22" i="1"/>
  <c r="O22" i="1"/>
  <c r="P22" i="1"/>
  <c r="R22" i="1"/>
  <c r="G22" i="1"/>
</calcChain>
</file>

<file path=xl/sharedStrings.xml><?xml version="1.0" encoding="utf-8"?>
<sst xmlns="http://schemas.openxmlformats.org/spreadsheetml/2006/main" count="87" uniqueCount="49">
  <si>
    <t>Sample</t>
  </si>
  <si>
    <t>0-5</t>
  </si>
  <si>
    <t>5-10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</si>
  <si>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</si>
  <si>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</si>
  <si>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</si>
  <si>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</si>
  <si>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</si>
  <si>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</si>
  <si>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</si>
  <si>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</si>
  <si>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</si>
  <si>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</si>
  <si>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</si>
  <si>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</si>
  <si>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</si>
  <si>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</si>
  <si>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</si>
  <si>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</si>
  <si>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</si>
  <si>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</si>
  <si>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Thickness (cm)</t>
  </si>
  <si>
    <t>Mid-point (depth - cm)</t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</si>
  <si>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Scarabaeinae Elytra</t>
    </r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</si>
  <si>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Scarabaeinae Prothorax</t>
    </r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</si>
  <si>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Scarabaeinae Head</t>
    </r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</si>
  <si>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Scarabaeinae Metasternum</t>
    </r>
  </si>
  <si>
    <t>SCARAB: Scarabaeinae MNI</t>
  </si>
  <si>
    <t>Age (approx)</t>
  </si>
  <si>
    <t>Age estimates for each depth based on radiocarbon sequence</t>
  </si>
  <si>
    <r>
      <rPr>
        <b/>
        <sz val="11"/>
        <color theme="1"/>
        <rFont val="Calibri"/>
        <family val="2"/>
        <scheme val="minor"/>
      </rPr>
      <t>Years</t>
    </r>
    <r>
      <rPr>
        <sz val="11"/>
        <color theme="1"/>
        <rFont val="Calibri"/>
        <family val="2"/>
        <scheme val="minor"/>
      </rPr>
      <t xml:space="preserve"> (thickness represents how many years)</t>
    </r>
  </si>
  <si>
    <t>SCARAB: Scarabaeinae TOTAL</t>
  </si>
  <si>
    <t>BC</t>
  </si>
  <si>
    <t>AD</t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</si>
  <si>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Nesovinsonia-type Head</t>
    </r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</si>
  <si>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Nesovinsonia-type Elytra</t>
    </r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</si>
  <si>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Nesovinsonia-type metasternum</t>
    </r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</si>
  <si>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Nesovinsonia-type leg</t>
    </r>
  </si>
  <si>
    <r>
      <t xml:space="preserve">SCARAB: </t>
    </r>
    <r>
      <rPr>
        <b/>
        <i/>
        <sz val="11"/>
        <color rgb="FF0000FF"/>
        <rFont val="Calibri"/>
        <family val="2"/>
        <scheme val="minor"/>
      </rPr>
      <t xml:space="preserve">Nesovinsonia-type </t>
    </r>
    <r>
      <rPr>
        <b/>
        <sz val="11"/>
        <color rgb="FF0000FF"/>
        <rFont val="Calibri"/>
        <family val="2"/>
        <scheme val="minor"/>
      </rPr>
      <t>MNI</t>
    </r>
  </si>
  <si>
    <t>LOT</t>
  </si>
  <si>
    <t>20 litres</t>
  </si>
  <si>
    <t>Volume (ml)</t>
  </si>
  <si>
    <t>30-60 Bulk</t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</si>
  <si>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Nesovinsonia-type Prothorax grags</t>
    </r>
  </si>
  <si>
    <r>
      <rPr>
        <b/>
        <sz val="11"/>
        <color theme="1"/>
        <rFont val="Calibri"/>
        <family val="2"/>
        <scheme val="minor"/>
      </rPr>
      <t>SCARAB: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Nesovinsonia-type sternites</t>
    </r>
  </si>
  <si>
    <t>y</t>
  </si>
  <si>
    <t>Bag 1</t>
  </si>
  <si>
    <t>Bag 2</t>
  </si>
  <si>
    <t>Bag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</si>
</sst>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 textRotation="90"/>
    </xf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textRotation="90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textRotation="90"/>
    </xf>
    <xf numFmtId="49" fontId="1" fillId="0" borderId="0" xfId="0" applyNumberFormat="1" applyFont="1" applyAlignment="1">
      <alignment textRotation="90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49" fontId="0" fillId="3" borderId="0" xfId="0" applyNumberForma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0" fillId="2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SCARAB: Scarabaeinae TOTAL</c:v>
                </c:pt>
              </c:strCache>
            </c:strRef>
          </c:tx>
          <c:spPr>
            <a:ln w="28575">
              <a:noFill/>
            </a:ln>
          </c:spPr>
          <c:trendline>
            <c:trendlineType val="movingAvg"/>
            <c:period val="3"/>
            <c:dispRSqr val="0"/>
            <c:dispEq val="0"/>
          </c:trendline>
          <c:xVal>
            <c:numRef>
              <c:f>Sheet1!$S$2:$S$21</c:f>
              <c:numCache>
                <c:formatCode>General</c:formatCode>
                <c:ptCount val="20"/>
                <c:pt idx="0">
                  <c:v>1950</c:v>
                </c:pt>
                <c:pt idx="1">
                  <c:v>1930</c:v>
                </c:pt>
                <c:pt idx="2">
                  <c:v>1880</c:v>
                </c:pt>
                <c:pt idx="3">
                  <c:v>1820</c:v>
                </c:pt>
                <c:pt idx="4">
                  <c:v>1760</c:v>
                </c:pt>
                <c:pt idx="5">
                  <c:v>1650</c:v>
                </c:pt>
                <c:pt idx="6">
                  <c:v>1340</c:v>
                </c:pt>
                <c:pt idx="7">
                  <c:v>1000</c:v>
                </c:pt>
                <c:pt idx="8">
                  <c:v>700</c:v>
                </c:pt>
                <c:pt idx="9">
                  <c:v>400</c:v>
                </c:pt>
                <c:pt idx="10">
                  <c:v>150</c:v>
                </c:pt>
                <c:pt idx="11">
                  <c:v>-150</c:v>
                </c:pt>
                <c:pt idx="12">
                  <c:v>-400</c:v>
                </c:pt>
                <c:pt idx="13">
                  <c:v>-650</c:v>
                </c:pt>
                <c:pt idx="14">
                  <c:v>-925</c:v>
                </c:pt>
                <c:pt idx="15">
                  <c:v>-1100</c:v>
                </c:pt>
                <c:pt idx="16">
                  <c:v>-1250</c:v>
                </c:pt>
                <c:pt idx="17">
                  <c:v>-1380</c:v>
                </c:pt>
                <c:pt idx="18">
                  <c:v>-1450</c:v>
                </c:pt>
                <c:pt idx="19">
                  <c:v>-1550</c:v>
                </c:pt>
              </c:numCache>
            </c:numRef>
          </c:xVal>
          <c:yVal>
            <c:numRef>
              <c:f>Sheet1!$U$2:$U$21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12</c:v>
                </c:pt>
                <c:pt idx="4">
                  <c:v>19</c:v>
                </c:pt>
                <c:pt idx="5">
                  <c:v>18</c:v>
                </c:pt>
                <c:pt idx="6">
                  <c:v>13</c:v>
                </c:pt>
                <c:pt idx="7">
                  <c:v>19</c:v>
                </c:pt>
                <c:pt idx="8">
                  <c:v>14</c:v>
                </c:pt>
                <c:pt idx="9">
                  <c:v>26</c:v>
                </c:pt>
                <c:pt idx="10">
                  <c:v>17</c:v>
                </c:pt>
                <c:pt idx="11">
                  <c:v>31</c:v>
                </c:pt>
                <c:pt idx="12">
                  <c:v>21</c:v>
                </c:pt>
                <c:pt idx="13">
                  <c:v>23</c:v>
                </c:pt>
                <c:pt idx="14">
                  <c:v>22</c:v>
                </c:pt>
                <c:pt idx="15">
                  <c:v>29</c:v>
                </c:pt>
                <c:pt idx="16">
                  <c:v>20</c:v>
                </c:pt>
                <c:pt idx="17">
                  <c:v>27</c:v>
                </c:pt>
                <c:pt idx="18">
                  <c:v>16</c:v>
                </c:pt>
                <c:pt idx="1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47-9744-9F7D-ED828BB2E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9104"/>
        <c:axId val="53521024"/>
      </c:scatterChart>
      <c:valAx>
        <c:axId val="53519104"/>
        <c:scaling>
          <c:orientation val="minMax"/>
          <c:max val="2015"/>
          <c:min val="-15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Age (BC</a:t>
                </a:r>
                <a:r>
                  <a:rPr lang="en-AU" baseline="0"/>
                  <a:t>/AD</a:t>
                </a:r>
                <a:endParaRPr lang="en-A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521024"/>
        <c:crosses val="autoZero"/>
        <c:crossBetween val="midCat"/>
      </c:valAx>
      <c:valAx>
        <c:axId val="5352102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AU"/>
                  <a:t>Number of specimens/Sample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519104"/>
        <c:crosses val="max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</xdr:colOff>
      <xdr:row>1</xdr:row>
      <xdr:rowOff>142875</xdr:rowOff>
    </xdr:from>
    <xdr:to>
      <xdr:col>29</xdr:col>
      <xdr:colOff>333375</xdr:colOff>
      <xdr:row>16</xdr:row>
      <xdr:rowOff>19050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zoomScale="180" zoomScaleNormal="180"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V23"/>
    </sheetView>
  </sheetViews>
  <sheetFormatPr baseColWidth="10" defaultColWidth="8.83203125" defaultRowHeight="15" x14ac:dyDescent="0.2"/>
  <cols>
    <col min="2" max="2" width="10" bestFit="1" customWidth="1"/>
    <col min="3" max="3" width="3.6640625" bestFit="1" customWidth="1"/>
    <col min="4" max="4" width="8" bestFit="1" customWidth="1"/>
    <col min="5" max="5" width="5" bestFit="1" customWidth="1"/>
    <col min="6" max="6" width="6" bestFit="1" customWidth="1"/>
    <col min="7" max="10" width="3.6640625" customWidth="1"/>
    <col min="11" max="11" width="3.6640625" style="8" customWidth="1"/>
    <col min="12" max="15" width="3.6640625" bestFit="1" customWidth="1"/>
    <col min="16" max="17" width="3.6640625" customWidth="1"/>
    <col min="18" max="18" width="3.6640625" style="8" bestFit="1" customWidth="1"/>
    <col min="19" max="19" width="9.1640625" style="4"/>
    <col min="22" max="22" width="3.6640625" bestFit="1" customWidth="1"/>
  </cols>
  <sheetData>
    <row r="1" spans="1:22" ht="131" customHeight="1" x14ac:dyDescent="0.2">
      <c r="A1" s="17" t="s">
        <v>39</v>
      </c>
      <c r="B1" s="15" t="s">
        <v>0</v>
      </c>
      <c r="C1" s="14" t="s">
        <v>21</v>
      </c>
      <c r="D1" s="14" t="s">
        <v>41</v>
      </c>
      <c r="E1" s="14" t="s">
        <v>22</v>
      </c>
      <c r="F1" s="1" t="s">
        <v>30</v>
      </c>
      <c r="G1" s="2" t="s">
        <v>25</v>
      </c>
      <c r="H1" s="2" t="s">
        <v>24</v>
      </c>
      <c r="I1" s="2" t="s">
        <v>23</v>
      </c>
      <c r="J1" s="2" t="s">
        <v>26</v>
      </c>
      <c r="K1" s="9" t="s">
        <v>27</v>
      </c>
      <c r="L1" s="2" t="s">
        <v>34</v>
      </c>
      <c r="M1" s="2" t="s">
        <v>43</v>
      </c>
      <c r="N1" s="2" t="s">
        <v>35</v>
      </c>
      <c r="O1" s="2" t="s">
        <v>36</v>
      </c>
      <c r="P1" s="2" t="s">
        <v>37</v>
      </c>
      <c r="Q1" s="2" t="s">
        <v>44</v>
      </c>
      <c r="R1" s="9" t="s">
        <v>38</v>
      </c>
      <c r="S1" s="13" t="s">
        <v>28</v>
      </c>
      <c r="U1" s="14" t="s">
        <v>31</v>
      </c>
    </row>
    <row r="2" spans="1:22" x14ac:dyDescent="0.2">
      <c r="A2" s="17"/>
      <c r="B2" s="3" t="s">
        <v>1</v>
      </c>
      <c r="C2">
        <v>5</v>
      </c>
      <c r="D2">
        <v>250</v>
      </c>
      <c r="E2">
        <v>2.5</v>
      </c>
      <c r="F2">
        <v>75</v>
      </c>
      <c r="G2" s="4"/>
      <c r="H2" s="4"/>
      <c r="I2" s="4"/>
      <c r="J2" s="4"/>
      <c r="K2" s="11"/>
      <c r="R2" s="10"/>
      <c r="S2" s="4">
        <v>1950</v>
      </c>
      <c r="T2" t="s">
        <v>33</v>
      </c>
      <c r="U2" s="8">
        <v>0</v>
      </c>
    </row>
    <row r="3" spans="1:22" x14ac:dyDescent="0.2">
      <c r="A3" s="18">
        <v>1</v>
      </c>
      <c r="B3" s="22" t="s">
        <v>2</v>
      </c>
      <c r="C3" s="19">
        <v>5</v>
      </c>
      <c r="D3" s="19">
        <v>250</v>
      </c>
      <c r="E3" s="19">
        <v>7.5</v>
      </c>
      <c r="F3" s="19">
        <v>35</v>
      </c>
      <c r="G3" s="21">
        <v>1</v>
      </c>
      <c r="H3" s="21"/>
      <c r="I3" s="21"/>
      <c r="J3" s="21"/>
      <c r="K3" s="23">
        <v>1</v>
      </c>
      <c r="L3" s="19"/>
      <c r="M3" s="19"/>
      <c r="N3" s="19"/>
      <c r="O3" s="19"/>
      <c r="P3" s="19"/>
      <c r="Q3" s="19"/>
      <c r="R3" s="24"/>
      <c r="S3" s="21">
        <v>1930</v>
      </c>
      <c r="T3" s="19" t="s">
        <v>33</v>
      </c>
      <c r="U3" s="20">
        <v>1</v>
      </c>
      <c r="V3" t="s">
        <v>45</v>
      </c>
    </row>
    <row r="4" spans="1:22" x14ac:dyDescent="0.2">
      <c r="A4" s="17">
        <v>2</v>
      </c>
      <c r="B4" s="3" t="s">
        <v>3</v>
      </c>
      <c r="C4">
        <v>5</v>
      </c>
      <c r="D4">
        <v>250</v>
      </c>
      <c r="E4">
        <v>12.5</v>
      </c>
      <c r="F4">
        <v>55</v>
      </c>
      <c r="G4" s="4">
        <v>1</v>
      </c>
      <c r="H4" s="4">
        <v>1</v>
      </c>
      <c r="I4" s="4">
        <v>1</v>
      </c>
      <c r="J4" s="4"/>
      <c r="K4" s="11">
        <v>1</v>
      </c>
      <c r="R4" s="10"/>
      <c r="S4" s="4">
        <v>1880</v>
      </c>
      <c r="T4" t="s">
        <v>33</v>
      </c>
      <c r="U4" s="8">
        <v>3</v>
      </c>
      <c r="V4" t="s">
        <v>45</v>
      </c>
    </row>
    <row r="5" spans="1:22" x14ac:dyDescent="0.2">
      <c r="A5" s="18">
        <v>1</v>
      </c>
      <c r="B5" s="22" t="s">
        <v>4</v>
      </c>
      <c r="C5" s="19">
        <v>5</v>
      </c>
      <c r="D5" s="19">
        <v>250</v>
      </c>
      <c r="E5" s="19">
        <v>17.5</v>
      </c>
      <c r="F5" s="19">
        <v>60</v>
      </c>
      <c r="G5" s="21">
        <v>4</v>
      </c>
      <c r="H5" s="21">
        <v>1</v>
      </c>
      <c r="I5" s="21">
        <v>4</v>
      </c>
      <c r="J5" s="21">
        <v>1</v>
      </c>
      <c r="K5" s="23">
        <v>4</v>
      </c>
      <c r="L5" s="19"/>
      <c r="M5" s="19"/>
      <c r="N5" s="19">
        <v>2</v>
      </c>
      <c r="O5" s="19"/>
      <c r="P5" s="19"/>
      <c r="Q5" s="19"/>
      <c r="R5" s="23">
        <v>1</v>
      </c>
      <c r="S5" s="21">
        <v>1820</v>
      </c>
      <c r="T5" s="19" t="s">
        <v>33</v>
      </c>
      <c r="U5" s="20">
        <v>12</v>
      </c>
      <c r="V5" t="s">
        <v>45</v>
      </c>
    </row>
    <row r="6" spans="1:22" ht="16" thickBot="1" x14ac:dyDescent="0.25">
      <c r="A6" s="17">
        <v>2</v>
      </c>
      <c r="B6" s="5" t="s">
        <v>5</v>
      </c>
      <c r="C6" s="6">
        <v>5</v>
      </c>
      <c r="D6">
        <v>250</v>
      </c>
      <c r="E6" s="6">
        <v>22.5</v>
      </c>
      <c r="F6">
        <v>85</v>
      </c>
      <c r="G6" s="7">
        <v>4</v>
      </c>
      <c r="H6" s="7">
        <v>3</v>
      </c>
      <c r="I6" s="7">
        <v>5</v>
      </c>
      <c r="J6" s="7">
        <v>5</v>
      </c>
      <c r="K6" s="12">
        <v>5</v>
      </c>
      <c r="N6">
        <v>1</v>
      </c>
      <c r="O6">
        <v>1</v>
      </c>
      <c r="R6" s="12">
        <v>1</v>
      </c>
      <c r="S6" s="4">
        <v>1760</v>
      </c>
      <c r="T6" t="s">
        <v>33</v>
      </c>
      <c r="U6" s="8">
        <v>19</v>
      </c>
      <c r="V6" t="s">
        <v>45</v>
      </c>
    </row>
    <row r="7" spans="1:22" x14ac:dyDescent="0.2">
      <c r="A7" s="18">
        <v>1</v>
      </c>
      <c r="B7" s="22" t="s">
        <v>6</v>
      </c>
      <c r="C7" s="19">
        <v>5</v>
      </c>
      <c r="D7" s="19">
        <v>250</v>
      </c>
      <c r="E7" s="19">
        <v>27.5</v>
      </c>
      <c r="F7" s="19">
        <v>210</v>
      </c>
      <c r="G7" s="21">
        <v>5</v>
      </c>
      <c r="H7" s="21">
        <v>3</v>
      </c>
      <c r="I7" s="21">
        <v>9</v>
      </c>
      <c r="J7" s="21">
        <v>1</v>
      </c>
      <c r="K7" s="23">
        <v>5</v>
      </c>
      <c r="L7" s="19"/>
      <c r="M7" s="19"/>
      <c r="N7" s="19"/>
      <c r="O7" s="19"/>
      <c r="P7" s="19"/>
      <c r="Q7" s="19"/>
      <c r="R7" s="24"/>
      <c r="S7" s="21">
        <v>1650</v>
      </c>
      <c r="T7" s="19" t="s">
        <v>33</v>
      </c>
      <c r="U7" s="20">
        <v>18</v>
      </c>
      <c r="V7" t="s">
        <v>45</v>
      </c>
    </row>
    <row r="8" spans="1:22" x14ac:dyDescent="0.2">
      <c r="A8" s="17">
        <v>2</v>
      </c>
      <c r="B8" s="3" t="s">
        <v>7</v>
      </c>
      <c r="C8">
        <v>5</v>
      </c>
      <c r="D8">
        <v>250</v>
      </c>
      <c r="E8">
        <v>32.5</v>
      </c>
      <c r="F8">
        <v>325</v>
      </c>
      <c r="G8" s="4">
        <v>3</v>
      </c>
      <c r="H8" s="4">
        <v>3</v>
      </c>
      <c r="I8" s="4">
        <v>4</v>
      </c>
      <c r="J8" s="4">
        <v>3</v>
      </c>
      <c r="K8" s="11">
        <v>3</v>
      </c>
      <c r="R8" s="10"/>
      <c r="S8" s="4">
        <v>1340</v>
      </c>
      <c r="T8" t="s">
        <v>33</v>
      </c>
      <c r="U8" s="8">
        <v>13</v>
      </c>
      <c r="V8" t="s">
        <v>45</v>
      </c>
    </row>
    <row r="9" spans="1:22" x14ac:dyDescent="0.2">
      <c r="A9" s="18">
        <v>1</v>
      </c>
      <c r="B9" s="22" t="s">
        <v>8</v>
      </c>
      <c r="C9" s="19">
        <v>5</v>
      </c>
      <c r="D9" s="19">
        <v>250</v>
      </c>
      <c r="E9" s="19">
        <v>37.5</v>
      </c>
      <c r="F9" s="19">
        <v>320</v>
      </c>
      <c r="G9" s="21">
        <v>6</v>
      </c>
      <c r="H9" s="21">
        <v>2</v>
      </c>
      <c r="I9" s="21">
        <v>10</v>
      </c>
      <c r="J9" s="21">
        <v>1</v>
      </c>
      <c r="K9" s="23">
        <v>6</v>
      </c>
      <c r="L9" s="19"/>
      <c r="M9" s="19"/>
      <c r="N9" s="19"/>
      <c r="O9" s="19"/>
      <c r="P9" s="19"/>
      <c r="Q9" s="19"/>
      <c r="R9" s="24"/>
      <c r="S9" s="21">
        <v>1000</v>
      </c>
      <c r="T9" s="19" t="s">
        <v>33</v>
      </c>
      <c r="U9" s="20">
        <v>19</v>
      </c>
      <c r="V9" t="s">
        <v>45</v>
      </c>
    </row>
    <row r="10" spans="1:22" x14ac:dyDescent="0.2">
      <c r="A10" s="17">
        <v>2</v>
      </c>
      <c r="B10" s="3" t="s">
        <v>9</v>
      </c>
      <c r="C10">
        <v>5</v>
      </c>
      <c r="D10">
        <v>250</v>
      </c>
      <c r="E10">
        <v>42.5</v>
      </c>
      <c r="F10">
        <v>300</v>
      </c>
      <c r="G10" s="4">
        <v>4</v>
      </c>
      <c r="H10" s="4">
        <v>2</v>
      </c>
      <c r="I10" s="4">
        <v>8</v>
      </c>
      <c r="K10" s="11">
        <v>5</v>
      </c>
      <c r="R10" s="10"/>
      <c r="S10" s="4">
        <v>700</v>
      </c>
      <c r="T10" t="s">
        <v>33</v>
      </c>
      <c r="U10" s="8">
        <v>14</v>
      </c>
      <c r="V10" t="s">
        <v>45</v>
      </c>
    </row>
    <row r="11" spans="1:22" x14ac:dyDescent="0.2">
      <c r="A11" s="18">
        <v>1</v>
      </c>
      <c r="B11" s="22" t="s">
        <v>10</v>
      </c>
      <c r="C11" s="19">
        <v>5</v>
      </c>
      <c r="D11" s="19">
        <v>250</v>
      </c>
      <c r="E11" s="19">
        <v>47.5</v>
      </c>
      <c r="F11" s="19">
        <v>275</v>
      </c>
      <c r="G11" s="21">
        <v>15</v>
      </c>
      <c r="H11" s="21">
        <v>4</v>
      </c>
      <c r="I11" s="21">
        <v>5</v>
      </c>
      <c r="J11" s="21">
        <v>1</v>
      </c>
      <c r="K11" s="23">
        <v>14</v>
      </c>
      <c r="L11" s="19"/>
      <c r="M11" s="19"/>
      <c r="N11" s="19"/>
      <c r="O11" s="19">
        <v>1</v>
      </c>
      <c r="P11" s="19"/>
      <c r="Q11" s="19"/>
      <c r="R11" s="24">
        <v>1</v>
      </c>
      <c r="S11" s="21">
        <v>400</v>
      </c>
      <c r="T11" s="19" t="s">
        <v>33</v>
      </c>
      <c r="U11" s="20">
        <v>26</v>
      </c>
      <c r="V11" t="s">
        <v>45</v>
      </c>
    </row>
    <row r="12" spans="1:22" x14ac:dyDescent="0.2">
      <c r="A12" s="17">
        <v>2</v>
      </c>
      <c r="B12" s="3" t="s">
        <v>11</v>
      </c>
      <c r="C12">
        <v>5</v>
      </c>
      <c r="D12">
        <v>250</v>
      </c>
      <c r="E12">
        <v>52.5</v>
      </c>
      <c r="F12">
        <v>275</v>
      </c>
      <c r="G12" s="4">
        <v>10</v>
      </c>
      <c r="H12" s="4">
        <v>1</v>
      </c>
      <c r="I12" s="4">
        <v>6</v>
      </c>
      <c r="J12" s="4"/>
      <c r="K12" s="11">
        <v>10</v>
      </c>
      <c r="R12" s="10"/>
      <c r="S12" s="4">
        <v>150</v>
      </c>
      <c r="T12" t="s">
        <v>33</v>
      </c>
      <c r="U12" s="8">
        <v>17</v>
      </c>
      <c r="V12" t="s">
        <v>45</v>
      </c>
    </row>
    <row r="13" spans="1:22" x14ac:dyDescent="0.2">
      <c r="A13" s="18">
        <v>1</v>
      </c>
      <c r="B13" s="22" t="s">
        <v>12</v>
      </c>
      <c r="C13" s="19">
        <v>5</v>
      </c>
      <c r="D13" s="19">
        <v>250</v>
      </c>
      <c r="E13" s="19">
        <v>57.5</v>
      </c>
      <c r="F13" s="19">
        <v>275</v>
      </c>
      <c r="G13" s="21">
        <v>14</v>
      </c>
      <c r="H13" s="21">
        <v>10</v>
      </c>
      <c r="I13" s="21">
        <v>6</v>
      </c>
      <c r="J13" s="21"/>
      <c r="K13" s="23">
        <v>14</v>
      </c>
      <c r="L13" s="19"/>
      <c r="M13" s="19"/>
      <c r="N13" s="19">
        <v>1</v>
      </c>
      <c r="O13" s="19"/>
      <c r="P13" s="19"/>
      <c r="Q13" s="19"/>
      <c r="R13" s="24">
        <v>1</v>
      </c>
      <c r="S13" s="21">
        <v>-150</v>
      </c>
      <c r="T13" s="19" t="s">
        <v>32</v>
      </c>
      <c r="U13" s="20">
        <v>31</v>
      </c>
      <c r="V13" t="s">
        <v>45</v>
      </c>
    </row>
    <row r="14" spans="1:22" x14ac:dyDescent="0.2">
      <c r="A14" s="17">
        <v>2</v>
      </c>
      <c r="B14" s="3" t="s">
        <v>13</v>
      </c>
      <c r="C14">
        <v>5</v>
      </c>
      <c r="D14">
        <v>250</v>
      </c>
      <c r="E14">
        <v>62.5</v>
      </c>
      <c r="F14">
        <v>250</v>
      </c>
      <c r="G14" s="4">
        <v>10</v>
      </c>
      <c r="H14" s="4">
        <v>4</v>
      </c>
      <c r="I14" s="4">
        <v>5</v>
      </c>
      <c r="J14" s="4">
        <v>1</v>
      </c>
      <c r="K14" s="11">
        <v>10</v>
      </c>
      <c r="M14">
        <v>1</v>
      </c>
      <c r="R14" s="10">
        <v>1</v>
      </c>
      <c r="S14" s="4">
        <v>-400</v>
      </c>
      <c r="T14" t="s">
        <v>32</v>
      </c>
      <c r="U14" s="8">
        <v>21</v>
      </c>
      <c r="V14" t="s">
        <v>45</v>
      </c>
    </row>
    <row r="15" spans="1:22" x14ac:dyDescent="0.2">
      <c r="A15" s="18">
        <v>1</v>
      </c>
      <c r="B15" s="22" t="s">
        <v>14</v>
      </c>
      <c r="C15" s="19">
        <v>5</v>
      </c>
      <c r="D15" s="19">
        <v>250</v>
      </c>
      <c r="E15" s="19">
        <v>67.5</v>
      </c>
      <c r="F15" s="19">
        <v>262.5</v>
      </c>
      <c r="G15" s="21">
        <v>7</v>
      </c>
      <c r="H15" s="21">
        <v>3</v>
      </c>
      <c r="I15" s="21">
        <v>10</v>
      </c>
      <c r="J15" s="21">
        <v>3</v>
      </c>
      <c r="K15" s="23">
        <v>7</v>
      </c>
      <c r="L15" s="19"/>
      <c r="M15" s="19"/>
      <c r="N15" s="19"/>
      <c r="O15" s="19"/>
      <c r="P15" s="19"/>
      <c r="Q15" s="19"/>
      <c r="R15" s="24"/>
      <c r="S15" s="21">
        <v>-650</v>
      </c>
      <c r="T15" s="19" t="s">
        <v>32</v>
      </c>
      <c r="U15" s="20">
        <v>23</v>
      </c>
      <c r="V15" t="s">
        <v>45</v>
      </c>
    </row>
    <row r="16" spans="1:22" x14ac:dyDescent="0.2">
      <c r="A16" s="17">
        <v>2</v>
      </c>
      <c r="B16" s="3" t="s">
        <v>15</v>
      </c>
      <c r="C16">
        <v>5</v>
      </c>
      <c r="D16">
        <v>250</v>
      </c>
      <c r="E16">
        <v>72.5</v>
      </c>
      <c r="F16">
        <v>225</v>
      </c>
      <c r="G16" s="4">
        <v>3</v>
      </c>
      <c r="H16" s="4">
        <v>3</v>
      </c>
      <c r="I16" s="4">
        <v>9</v>
      </c>
      <c r="J16" s="4">
        <v>5</v>
      </c>
      <c r="K16" s="11">
        <v>5</v>
      </c>
      <c r="N16">
        <v>2</v>
      </c>
      <c r="R16" s="10">
        <v>2</v>
      </c>
      <c r="S16" s="4">
        <v>-925</v>
      </c>
      <c r="T16" t="s">
        <v>32</v>
      </c>
      <c r="U16" s="8">
        <v>22</v>
      </c>
      <c r="V16" t="s">
        <v>45</v>
      </c>
    </row>
    <row r="17" spans="1:22" x14ac:dyDescent="0.2">
      <c r="A17" s="18">
        <v>1</v>
      </c>
      <c r="B17" s="22" t="s">
        <v>16</v>
      </c>
      <c r="C17" s="19">
        <v>5</v>
      </c>
      <c r="D17" s="19">
        <v>250</v>
      </c>
      <c r="E17" s="19">
        <v>77.5</v>
      </c>
      <c r="F17" s="19">
        <v>162.5</v>
      </c>
      <c r="G17" s="21">
        <v>14</v>
      </c>
      <c r="H17" s="21">
        <v>4</v>
      </c>
      <c r="I17" s="21">
        <v>6</v>
      </c>
      <c r="J17" s="21">
        <v>5</v>
      </c>
      <c r="K17" s="23">
        <v>14</v>
      </c>
      <c r="L17" s="19"/>
      <c r="M17" s="19"/>
      <c r="N17" s="19"/>
      <c r="O17" s="19"/>
      <c r="P17" s="19"/>
      <c r="Q17" s="19"/>
      <c r="R17" s="24"/>
      <c r="S17" s="21">
        <v>-1100</v>
      </c>
      <c r="T17" s="19" t="s">
        <v>32</v>
      </c>
      <c r="U17" s="20">
        <v>29</v>
      </c>
      <c r="V17" t="s">
        <v>45</v>
      </c>
    </row>
    <row r="18" spans="1:22" x14ac:dyDescent="0.2">
      <c r="A18" s="17">
        <v>2</v>
      </c>
      <c r="B18" s="3" t="s">
        <v>17</v>
      </c>
      <c r="C18">
        <v>5</v>
      </c>
      <c r="D18">
        <v>250</v>
      </c>
      <c r="E18">
        <v>82.5</v>
      </c>
      <c r="F18">
        <v>140</v>
      </c>
      <c r="G18" s="4">
        <v>7</v>
      </c>
      <c r="H18" s="4">
        <v>3</v>
      </c>
      <c r="I18" s="4">
        <v>5</v>
      </c>
      <c r="J18" s="4">
        <v>3</v>
      </c>
      <c r="K18" s="11">
        <v>7</v>
      </c>
      <c r="L18">
        <v>1</v>
      </c>
      <c r="N18">
        <v>1</v>
      </c>
      <c r="R18" s="10">
        <v>1</v>
      </c>
      <c r="S18" s="4">
        <v>-1250</v>
      </c>
      <c r="T18" t="s">
        <v>32</v>
      </c>
      <c r="U18" s="8">
        <v>20</v>
      </c>
      <c r="V18" t="s">
        <v>45</v>
      </c>
    </row>
    <row r="19" spans="1:22" x14ac:dyDescent="0.2">
      <c r="A19" s="18">
        <v>1</v>
      </c>
      <c r="B19" s="22" t="s">
        <v>18</v>
      </c>
      <c r="C19" s="19">
        <v>5</v>
      </c>
      <c r="D19" s="19">
        <v>250</v>
      </c>
      <c r="E19" s="19">
        <v>87.5</v>
      </c>
      <c r="F19" s="19">
        <v>100</v>
      </c>
      <c r="G19" s="21">
        <v>13</v>
      </c>
      <c r="H19" s="21">
        <v>2</v>
      </c>
      <c r="I19" s="21">
        <v>6</v>
      </c>
      <c r="J19" s="21">
        <v>4</v>
      </c>
      <c r="K19" s="23">
        <v>13</v>
      </c>
      <c r="L19" s="19">
        <v>1</v>
      </c>
      <c r="M19" s="19"/>
      <c r="N19" s="19">
        <v>1</v>
      </c>
      <c r="O19" s="19"/>
      <c r="P19" s="19"/>
      <c r="Q19" s="19"/>
      <c r="R19" s="24">
        <v>1</v>
      </c>
      <c r="S19" s="21">
        <v>-1380</v>
      </c>
      <c r="T19" s="19" t="s">
        <v>32</v>
      </c>
      <c r="U19" s="20">
        <v>27</v>
      </c>
      <c r="V19" t="s">
        <v>45</v>
      </c>
    </row>
    <row r="20" spans="1:22" x14ac:dyDescent="0.2">
      <c r="A20" s="17">
        <v>2</v>
      </c>
      <c r="B20" s="3" t="s">
        <v>19</v>
      </c>
      <c r="C20">
        <v>5</v>
      </c>
      <c r="D20">
        <v>250</v>
      </c>
      <c r="E20">
        <v>92.5</v>
      </c>
      <c r="F20">
        <v>85</v>
      </c>
      <c r="G20" s="4">
        <v>8</v>
      </c>
      <c r="H20" s="4">
        <v>3</v>
      </c>
      <c r="I20" s="4">
        <v>4</v>
      </c>
      <c r="J20" s="4">
        <v>1</v>
      </c>
      <c r="K20" s="11">
        <v>8</v>
      </c>
      <c r="R20" s="10">
        <v>1</v>
      </c>
      <c r="S20" s="4">
        <v>-1450</v>
      </c>
      <c r="T20" t="s">
        <v>32</v>
      </c>
      <c r="U20" s="8">
        <v>16</v>
      </c>
      <c r="V20" t="s">
        <v>45</v>
      </c>
    </row>
    <row r="21" spans="1:22" x14ac:dyDescent="0.2">
      <c r="A21" s="18">
        <v>1</v>
      </c>
      <c r="B21" s="22" t="s">
        <v>20</v>
      </c>
      <c r="C21" s="19">
        <v>5</v>
      </c>
      <c r="D21" s="19">
        <v>250</v>
      </c>
      <c r="E21" s="19">
        <v>97.5</v>
      </c>
      <c r="F21" s="19">
        <v>50</v>
      </c>
      <c r="G21" s="21">
        <v>8</v>
      </c>
      <c r="H21" s="21">
        <v>2</v>
      </c>
      <c r="I21" s="21">
        <v>5</v>
      </c>
      <c r="J21" s="21">
        <v>2</v>
      </c>
      <c r="K21" s="23">
        <v>7</v>
      </c>
      <c r="L21" s="19"/>
      <c r="M21" s="19"/>
      <c r="N21" s="19"/>
      <c r="O21" s="19"/>
      <c r="P21" s="19">
        <v>1</v>
      </c>
      <c r="Q21" s="19"/>
      <c r="R21" s="24">
        <v>1</v>
      </c>
      <c r="S21" s="21">
        <v>-1550</v>
      </c>
      <c r="T21" s="19" t="s">
        <v>32</v>
      </c>
      <c r="U21" s="20">
        <v>18</v>
      </c>
      <c r="V21" t="s">
        <v>45</v>
      </c>
    </row>
    <row r="22" spans="1:22" x14ac:dyDescent="0.2">
      <c r="G22" s="8">
        <f>SUM(G2:G21)</f>
        <v>137</v>
      </c>
      <c r="H22" s="8">
        <f t="shared" ref="H22:R22" si="0">SUM(H2:H21)</f>
        <v>54</v>
      </c>
      <c r="I22" s="8">
        <f t="shared" si="0"/>
        <v>108</v>
      </c>
      <c r="J22" s="8">
        <f t="shared" si="0"/>
        <v>36</v>
      </c>
      <c r="K22" s="10">
        <f t="shared" si="0"/>
        <v>139</v>
      </c>
      <c r="L22" s="8">
        <f t="shared" si="0"/>
        <v>2</v>
      </c>
      <c r="M22" s="8">
        <f t="shared" si="0"/>
        <v>1</v>
      </c>
      <c r="N22" s="8">
        <f t="shared" si="0"/>
        <v>8</v>
      </c>
      <c r="O22" s="8">
        <f t="shared" si="0"/>
        <v>2</v>
      </c>
      <c r="P22" s="8">
        <f t="shared" si="0"/>
        <v>1</v>
      </c>
      <c r="Q22" s="8"/>
      <c r="R22" s="10">
        <f t="shared" si="0"/>
        <v>11</v>
      </c>
      <c r="U22" s="16">
        <f>SUM(U2:U21)</f>
        <v>349</v>
      </c>
    </row>
    <row r="23" spans="1:22" x14ac:dyDescent="0.2">
      <c r="S23" s="8" t="s">
        <v>29</v>
      </c>
    </row>
    <row r="25" spans="1:22" x14ac:dyDescent="0.2">
      <c r="A25" s="17">
        <v>1</v>
      </c>
      <c r="B25" t="s">
        <v>42</v>
      </c>
      <c r="C25">
        <v>30</v>
      </c>
      <c r="D25" t="s">
        <v>40</v>
      </c>
      <c r="E25">
        <v>45</v>
      </c>
      <c r="G25" s="25">
        <v>87</v>
      </c>
      <c r="H25" s="25">
        <v>63</v>
      </c>
      <c r="I25" s="25">
        <v>127</v>
      </c>
      <c r="J25" s="25">
        <v>53</v>
      </c>
      <c r="K25" s="11">
        <v>87</v>
      </c>
      <c r="L25" s="26">
        <v>16</v>
      </c>
      <c r="M25" s="26">
        <v>22</v>
      </c>
      <c r="N25" s="26">
        <v>28</v>
      </c>
      <c r="O25" s="26">
        <v>16</v>
      </c>
      <c r="P25" s="26">
        <v>11</v>
      </c>
      <c r="Q25" s="26">
        <v>5</v>
      </c>
      <c r="R25" s="10">
        <v>16</v>
      </c>
    </row>
    <row r="26" spans="1:22" x14ac:dyDescent="0.2">
      <c r="A26" s="4">
        <v>2</v>
      </c>
      <c r="B26" t="s">
        <v>42</v>
      </c>
      <c r="C26">
        <v>30</v>
      </c>
      <c r="D26" t="s">
        <v>40</v>
      </c>
      <c r="E26">
        <v>45</v>
      </c>
      <c r="G26">
        <v>87</v>
      </c>
      <c r="H26">
        <v>59</v>
      </c>
      <c r="I26">
        <v>127</v>
      </c>
      <c r="J26">
        <v>50</v>
      </c>
      <c r="K26" s="11">
        <v>87</v>
      </c>
      <c r="L26">
        <v>14</v>
      </c>
      <c r="M26">
        <v>19</v>
      </c>
      <c r="N26">
        <v>33</v>
      </c>
      <c r="O26">
        <v>20</v>
      </c>
      <c r="P26">
        <v>10</v>
      </c>
      <c r="Q26">
        <v>5</v>
      </c>
      <c r="R26" s="10">
        <v>20</v>
      </c>
    </row>
    <row r="27" spans="1:22" x14ac:dyDescent="0.2">
      <c r="F27" s="8"/>
      <c r="G27" s="8">
        <f>SUM(G25:G26)</f>
        <v>174</v>
      </c>
      <c r="H27" s="8">
        <f t="shared" ref="H27:R27" si="1">SUM(H25:H26)</f>
        <v>122</v>
      </c>
      <c r="I27" s="8">
        <f t="shared" si="1"/>
        <v>254</v>
      </c>
      <c r="J27" s="8">
        <f t="shared" si="1"/>
        <v>103</v>
      </c>
      <c r="K27" s="11">
        <f t="shared" si="1"/>
        <v>174</v>
      </c>
      <c r="L27" s="8">
        <f t="shared" si="1"/>
        <v>30</v>
      </c>
      <c r="M27" s="8">
        <f t="shared" si="1"/>
        <v>41</v>
      </c>
      <c r="N27" s="8">
        <f t="shared" si="1"/>
        <v>61</v>
      </c>
      <c r="O27" s="8">
        <f t="shared" si="1"/>
        <v>36</v>
      </c>
      <c r="P27" s="8">
        <f t="shared" si="1"/>
        <v>21</v>
      </c>
      <c r="Q27" s="8">
        <f t="shared" si="1"/>
        <v>10</v>
      </c>
      <c r="R27" s="10">
        <f t="shared" si="1"/>
        <v>36</v>
      </c>
    </row>
    <row r="29" spans="1:22" x14ac:dyDescent="0.2">
      <c r="L29" s="19"/>
      <c r="M29" t="s">
        <v>46</v>
      </c>
    </row>
    <row r="30" spans="1:22" x14ac:dyDescent="0.2">
      <c r="L30" s="25"/>
      <c r="M30" t="s">
        <v>47</v>
      </c>
    </row>
    <row r="31" spans="1:22" x14ac:dyDescent="0.2">
      <c r="L31" s="26"/>
      <c r="M31" t="s">
        <v>48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Deakin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Tarasov, Sergei</cp:lastModifiedBy>
  <dcterms:created xsi:type="dcterms:W3CDTF">2020-10-28T23:10:52Z</dcterms:created>
  <dcterms:modified xsi:type="dcterms:W3CDTF">2026-07-23T14:46:04Z</dcterms:modified>
</cp:coreProperties>
</file>
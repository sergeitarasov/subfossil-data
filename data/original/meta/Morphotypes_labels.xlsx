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sacco/Documents/subfossil/"/>
    </mc:Choice>
  </mc:AlternateContent>
  <xr:revisionPtr revIDLastSave="1001" documentId="13_ncr:1_{ECC5AFEC-D244-FA45-9539-93A474EBBDF6}" xr6:coauthVersionLast="47" xr6:coauthVersionMax="47" xr10:uidLastSave="{D83365EE-909D-44C4-8F65-B20D6A866A00}"/>
  <bookViews>
    <workbookView xWindow="0" yWindow="0" windowWidth="28800" windowHeight="18000" xr2:uid="{FCE12E50-2499-7C49-BBF6-FBE58BB18309}"/>
  </bookViews>
  <sheets>
    <sheet name="Dry_specimens_ROD" sheetId="4" r:id="rId1"/>
    <sheet name="SubFoss_I_batch_MUR" sheetId="3" r:id="rId2"/>
    <sheet name="SubFoss_I_batch" sheetId="2" r:id="rId3"/>
    <sheet name="SubFoss_II_batch_30-60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24" i="1" l="1"/>
  <c r="E1183" i="1"/>
  <c r="E1184" i="1"/>
  <c r="E1144" i="1"/>
  <c r="E1145" i="1"/>
  <c r="E1146" i="1"/>
  <c r="E1147" i="1"/>
  <c r="E759" i="1"/>
  <c r="E1112" i="1"/>
  <c r="E1113" i="1"/>
  <c r="E1114" i="1"/>
  <c r="E1104" i="1"/>
  <c r="E1105" i="1"/>
  <c r="E1106" i="1"/>
  <c r="E1107" i="1"/>
  <c r="E1108" i="1"/>
  <c r="E1109" i="1"/>
  <c r="E1110" i="1"/>
  <c r="E1111" i="1"/>
  <c r="E1116" i="1"/>
  <c r="E1115" i="1"/>
  <c r="E1117" i="1"/>
  <c r="E963" i="1"/>
  <c r="E964" i="1"/>
  <c r="E965" i="1"/>
  <c r="E966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1182" i="1"/>
  <c r="E1185" i="1"/>
  <c r="E1186" i="1"/>
  <c r="E1187" i="1"/>
  <c r="E1188" i="1"/>
  <c r="E1189" i="1"/>
  <c r="E1190" i="1"/>
  <c r="E1191" i="1"/>
  <c r="E1192" i="1"/>
  <c r="E1143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758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18" i="1"/>
  <c r="E1119" i="1"/>
  <c r="E1120" i="1"/>
  <c r="E1121" i="1"/>
  <c r="E1122" i="1"/>
  <c r="E1123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1142" i="1"/>
  <c r="E1125" i="1"/>
  <c r="E967" i="1"/>
  <c r="E760" i="1"/>
  <c r="E590" i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2" i="1"/>
  <c r="E2" i="1" s="1"/>
</calcChain>
</file>

<file path=xl/sharedStrings.xml><?xml version="1.0" encoding="utf-8"?>
<sst xmlns="http://schemas.openxmlformats.org/spreadsheetml/2006/main" count="7611" uniqueCount="3112">
  <si>
    <t>Extended collecting data</t>
  </si>
  <si>
    <t>QR &amp; TW identifier</t>
  </si>
  <si>
    <t>Magnification</t>
  </si>
  <si>
    <t>Notes</t>
  </si>
  <si>
    <t>Rodrigues: 1 Km north of Orange on west side of road Baladirou, ROD-SF-head_pron-1</t>
  </si>
  <si>
    <t>ROD-SF-head_pron-1</t>
  </si>
  <si>
    <t>1.5x</t>
  </si>
  <si>
    <t>Rodrigues: 1 Km north of Orange on west side of road Baladirou, ROD-SF-pron-230</t>
  </si>
  <si>
    <t>ROD-SF-pron-230</t>
  </si>
  <si>
    <t>2x</t>
  </si>
  <si>
    <t>Rodrigues: 1 Km north of Orange on west side of road Baladirou, ROD-SF-proleg-53</t>
  </si>
  <si>
    <t>ROD-SF-proleg-53</t>
  </si>
  <si>
    <t>Rodrigues: 1 Km north of Orange on west side of road Baladirou, ROD-SF-elytra-735</t>
  </si>
  <si>
    <t>ROD-SF-elytra-735</t>
  </si>
  <si>
    <t>3x</t>
  </si>
  <si>
    <t>Rodrigues: Grotte Fougere, ROD-SF-pron-231</t>
  </si>
  <si>
    <t>ROD-SF-pron-231</t>
  </si>
  <si>
    <t>Rodrigues: Grotte Fougere, ROD-SF-pron-232</t>
  </si>
  <si>
    <t>ROD-SF-pron-232</t>
  </si>
  <si>
    <t>Rodrigues: Grotte Fougere, ROD-SF-pron-233</t>
  </si>
  <si>
    <t>ROD-SF-pron-233</t>
  </si>
  <si>
    <t>Rodrigues: Grotte Fougere, ROD-SF-elytra-736</t>
  </si>
  <si>
    <t>ROD-SF-elytra-736</t>
  </si>
  <si>
    <t>E. giganteus</t>
  </si>
  <si>
    <t>Rodrigues: Grotte Fougere, ROD-SF-head-344</t>
  </si>
  <si>
    <t>ROD-SF-head-344</t>
  </si>
  <si>
    <t>4x</t>
  </si>
  <si>
    <t>not a dung beetle</t>
  </si>
  <si>
    <t>Mauritius: Mare Aux Songes, MRU_MAS07-374, MAU-SF-elytra-1</t>
  </si>
  <si>
    <t>MAU-SF-elytra-1</t>
  </si>
  <si>
    <t>2.5x</t>
  </si>
  <si>
    <t>Mauritius: Mare Aux Songes, MRU_MAS07-374, MAU-SF-pron-1</t>
  </si>
  <si>
    <t>MAU-SF-pron-1</t>
  </si>
  <si>
    <t>Mauritius: Mare Aux Songes, MRU_MAS07-374, MAU-SF-pron-2</t>
  </si>
  <si>
    <t>MAU-SF-pron-2</t>
  </si>
  <si>
    <t>5.5x</t>
  </si>
  <si>
    <r>
      <rPr>
        <i/>
        <sz val="12"/>
        <color rgb="FF000000"/>
        <rFont val="Calibri"/>
      </rPr>
      <t xml:space="preserve">Nesosisyphus </t>
    </r>
    <r>
      <rPr>
        <sz val="12"/>
        <color rgb="FF000000"/>
        <rFont val="Calibri"/>
      </rPr>
      <t>pronotum</t>
    </r>
  </si>
  <si>
    <t>Mauritius: Mare Aux Songes, MRU_MAS07-374, unknown-1</t>
  </si>
  <si>
    <t>MAU-SF-unknown-1</t>
  </si>
  <si>
    <t>Mauritius: Mare Aux Songes, MRU_MAS07-372, MAU-SF-elytra-2</t>
  </si>
  <si>
    <t>MAU-SF-elytra-2</t>
  </si>
  <si>
    <t>Mauritius: Mare Aux Songes, MRU_MAS07-372, MAU-SF-elytra-3</t>
  </si>
  <si>
    <t>MAU-SF-elytra-3</t>
  </si>
  <si>
    <t>Mauritius: Mare Aux Songes, MRU_MAS07-372, MAU-SF-elytra-4</t>
  </si>
  <si>
    <t>MAU-SF-elytra-4</t>
  </si>
  <si>
    <t>Mauritius: Mare Aux Songes, MRU_MAS07-372, MAU-SF-elytra-5</t>
  </si>
  <si>
    <t>MAU-SF-elytra-5</t>
  </si>
  <si>
    <t>Mauritius: Mare Aux Songes, MRU_MAS07-372, MAU-SF-elytra-6</t>
  </si>
  <si>
    <t>MAU-SF-elytra-6</t>
  </si>
  <si>
    <t>Mauritius: Mare Aux Songes, MRU_MAS07-372, MAU-SF-elytra-7</t>
  </si>
  <si>
    <t>MAU-SF-elytra-7</t>
  </si>
  <si>
    <t>Mauritius: Mare Aux Songes, MRU_MAS07-372, MAU-SF-elytra-8</t>
  </si>
  <si>
    <t>MAU-SF-elytra-8</t>
  </si>
  <si>
    <t>Mauritius: Mare Aux Songes, MRU_MAS07-372, MAU-SF-elytra-9</t>
  </si>
  <si>
    <t>MAU-SF-elytra-9</t>
  </si>
  <si>
    <t>Mauritius: Mare Aux Songes, MRU_MAS07-372, MAU-SF-elytra-10</t>
  </si>
  <si>
    <t>MAU-SF-elytra-10</t>
  </si>
  <si>
    <t>Mauritius: Mare Aux Songes, MRU_MAS07-372, MAU-SF-elytra-11</t>
  </si>
  <si>
    <t>MAU-SF-elytra-11</t>
  </si>
  <si>
    <t>Mauritius: Mare Aux Songes, MRU_MAS07-372, MAU-SF-elytra-12</t>
  </si>
  <si>
    <t>MAU-SF-elytra-12</t>
  </si>
  <si>
    <t>Mauritius: Mare Aux Songes, MRU_MAS07-372, MAU-SF-elytra-13</t>
  </si>
  <si>
    <t>MAU-SF-elytra-13</t>
  </si>
  <si>
    <t>Mauritius: Mare Aux Songes, MRU_MAS07-372, MAU-SF-elytra-14</t>
  </si>
  <si>
    <t>MAU-SF-elytra-14</t>
  </si>
  <si>
    <t>5x</t>
  </si>
  <si>
    <t>Mauritius: Mare Aux Songes, MRU_MAS07-372, MAU-SF-elytra-15</t>
  </si>
  <si>
    <t>MAU-SF-elytra-15</t>
  </si>
  <si>
    <t>Mauritius: Mare Aux Songes, MRU_MAS07-372, MAU-SF-elytra-16</t>
  </si>
  <si>
    <t>MAU-SF-elytra-16</t>
  </si>
  <si>
    <t>Mauritius: Mare Aux Songes, MRU_MAS07-372, MAU-SF-elytra-17</t>
  </si>
  <si>
    <t>MAU-SF-elytra-17</t>
  </si>
  <si>
    <t>Mauritius: Mare Aux Songes, MRU_MAS07-372, MAU-SF-elytra-18</t>
  </si>
  <si>
    <t>MAU-SF-elytra-18</t>
  </si>
  <si>
    <t>Mauritius: Mare Aux Songes, MRU_MAS07-372, MAU-SF-elytra-19</t>
  </si>
  <si>
    <t>MAU-SF-elytra-19</t>
  </si>
  <si>
    <t>Mauritius: Mare Aux Songes, MRU_MAS07-372, MAU-SF-elytra-20</t>
  </si>
  <si>
    <t>MAU-SF-elytra-20</t>
  </si>
  <si>
    <t>Mauritius: Mare Aux Songes, MRU_MAS07-372, MAU-SF-pron-3</t>
  </si>
  <si>
    <t>MAU-SF-pron-3</t>
  </si>
  <si>
    <t>Mauritius: Mare Aux Songes, MRU_MAS07-372, MAU-SF-head-1</t>
  </si>
  <si>
    <t>MAU-SF-head-1</t>
  </si>
  <si>
    <t>Mauritius: Mare Aux Songes, MRU_MAS07-372, MAU-SF-head-2</t>
  </si>
  <si>
    <t>MAU-SF-head-2</t>
  </si>
  <si>
    <t>Mauritius: Mare Aux Songes, MRU_MAS07-372, MAU-SF-head-3</t>
  </si>
  <si>
    <t>MAU-SF-head-3</t>
  </si>
  <si>
    <t>Mauritius: Mare Aux Songes, MRU_MAS07-372, MAU-SF-head-4</t>
  </si>
  <si>
    <t>MAU-SF-head-4</t>
  </si>
  <si>
    <t>Mauritius: Mare Aux Songes, MRU_MAS07-372, MAU-SF-metast-1</t>
  </si>
  <si>
    <t>MAU-SF-metast-1</t>
  </si>
  <si>
    <t>Mauritius: Mare Aux Songes, MRU_MAS07-372, MAU-SF-metast-2</t>
  </si>
  <si>
    <t>MAU-SF-metast-2</t>
  </si>
  <si>
    <t>Mauritius: Mare Aux Songes, MRU_MAS07-372, MAU-SF-metast-3</t>
  </si>
  <si>
    <t>MAU-SF-metast-3</t>
  </si>
  <si>
    <t>Mauritius: Mare Aux Songes, MRU_MAS07-372, MAU-SF-metast-4</t>
  </si>
  <si>
    <t>MAU-SF-metast-4</t>
  </si>
  <si>
    <t>Mauritius: Mare Aux Songes, MRU_MAS07-372, MAU-SF-metast-5</t>
  </si>
  <si>
    <t>MAU-SF-metast-5</t>
  </si>
  <si>
    <t>Mauritius: Mare Aux Songes, MRU_MAS07-372, MAU-SF-proleg-1</t>
  </si>
  <si>
    <t>MAU-SF-proleg-1</t>
  </si>
  <si>
    <t>Mauritius: Mare Aux Songes, MRU_MAS07-372, MAU-SF-proleg-2</t>
  </si>
  <si>
    <t>MAU-SF-proleg-2</t>
  </si>
  <si>
    <t>Mauritius: Mare Aux Songes, MRU_MAS07-372, unknown-2</t>
  </si>
  <si>
    <t>MAU-SF-unknown-2</t>
  </si>
  <si>
    <t>Mauritius: Mare Aux Songes, MRU_MAS07-372, unknown-3</t>
  </si>
  <si>
    <t>MAU-SF-unknown-3</t>
  </si>
  <si>
    <t>Mauritius: Mare Aux Songes, MRU_MAS07-372, unknown-4</t>
  </si>
  <si>
    <t>MAU-SF-unknown-4</t>
  </si>
  <si>
    <t>Mauritius: Mare Aux Songes, MRU_MAS07-372, unknown-5</t>
  </si>
  <si>
    <t>MAU-SF-unknown-5</t>
  </si>
  <si>
    <t>Mauritius: Mare Aux Songes, MRU_MAS07-372, unknown-6</t>
  </si>
  <si>
    <t>MAU-SF-unknown-6</t>
  </si>
  <si>
    <t>Mauritius: Mare Aux Songes, MRU_MAS07-378, MAU-SF-elytra-21</t>
  </si>
  <si>
    <t>MAU-SF-elytra-21</t>
  </si>
  <si>
    <t>Mauritius: Mare Aux Songes, MRU_MAS07-378, MAU-SF-elytra-22</t>
  </si>
  <si>
    <t>MAU-SF-elytra-22</t>
  </si>
  <si>
    <t>Mauritius: Mare Aux Songes, MRU_MAS07-378, MAU-SF-elytra-23</t>
  </si>
  <si>
    <t>MAU-SF-elytra-23</t>
  </si>
  <si>
    <t>Mauritius: Mare Aux Songes, MRU_MAS07-378, MAU-SF-elytra-24</t>
  </si>
  <si>
    <t>MAU-SF-elytra-24</t>
  </si>
  <si>
    <t>Mauritius: Mare Aux Songes, MRU_MAS07-378, MAU-SF-elytra-25</t>
  </si>
  <si>
    <t>MAU-SF-elytra-25</t>
  </si>
  <si>
    <t>Mauritius: Mare Aux Songes, MRU_MAS07-378, MAU-SF-elytra-26</t>
  </si>
  <si>
    <t>MAU-SF-elytra-26</t>
  </si>
  <si>
    <t>Mauritius: Mare Aux Songes, MRU_MAS07-378, MAU-SF-pron-4</t>
  </si>
  <si>
    <t>MAU-SF-pron-4</t>
  </si>
  <si>
    <t>Mauritius: Mare Aux Songes, MRU_MAS07-378, MAU-SF-head-5</t>
  </si>
  <si>
    <t>MAU-SF-head-5</t>
  </si>
  <si>
    <t>Mauritius: Mare Aux Songes, MRU_MAS07-378, MAU-SF-head-6</t>
  </si>
  <si>
    <t>MAU-SF-head-6</t>
  </si>
  <si>
    <t>Mauritius: Mare Aux Songes, MRU_MAS07-378, MAU-SF-proleg-3</t>
  </si>
  <si>
    <t>MAU-SF-proleg-3</t>
  </si>
  <si>
    <t>Mauritius: Mare Aux Songes, MRU_MAS07-378, MAU-SF-proleg-4</t>
  </si>
  <si>
    <t>MAU-SF-proleg-4</t>
  </si>
  <si>
    <t>Mauritius: Mare Aux Songes, MRU_MAS09-378, MAU-SF-proleg-5</t>
  </si>
  <si>
    <t>MAU-SF-proleg-5</t>
  </si>
  <si>
    <t>Mauritius: Mare Aux Songes, MRU_MAS09-15011, MAU-SF-elytra-27</t>
  </si>
  <si>
    <t>MAU-SF-elytra-27</t>
  </si>
  <si>
    <t>Mauritius: Mare Aux Songes, MRU_MAS09-15011, MAU-SF-elytra-28</t>
  </si>
  <si>
    <t>MAU-SF-elytra-28</t>
  </si>
  <si>
    <t>Mauritius: Mare Aux Songes, MRU_MAS09-15011, MAU-SF-elytra-29</t>
  </si>
  <si>
    <t>MAU-SF-elytra-29</t>
  </si>
  <si>
    <t>Mauritius: Mare Aux Songes, MRU_MAS09-15011, MAU-SF-elytra-30</t>
  </si>
  <si>
    <t>MAU-SF-elytra-30</t>
  </si>
  <si>
    <t>Mauritius: Mare Aux Songes, MRU_MAS09-15011, MAU-SF-elytra-31</t>
  </si>
  <si>
    <t>MAU-SF-elytra-31</t>
  </si>
  <si>
    <t>Mauritius: Mare Aux Songes, MRU_MAS09-15011, MAU-SF-elytra-32</t>
  </si>
  <si>
    <t>MAU-SF-elytra-32</t>
  </si>
  <si>
    <t>Mauritius: Mare Aux Songes, MRU_MAS09-15011, MAU-SF-elytra-33</t>
  </si>
  <si>
    <t>MAU-SF-elytra-33</t>
  </si>
  <si>
    <t>Mauritius: Mare Aux Songes, MRU_MAS09-15011, MAU-SF-elytra-34</t>
  </si>
  <si>
    <t>MAU-SF-elytra-34</t>
  </si>
  <si>
    <t>Mauritius: Mare Aux Songes, MRU_MAS09-15011, MAU-SF-elytra-35</t>
  </si>
  <si>
    <t>MAU-SF-elytra-35</t>
  </si>
  <si>
    <t>Mauritius: Mare Aux Songes, MRU_MAS09-15011, MAU-SF-elytra-36</t>
  </si>
  <si>
    <t>MAU-SF-elytra-36</t>
  </si>
  <si>
    <t>Mauritius: Mare Aux Songes, MRU_MAS09-15011, MAU-SF-elytra-37</t>
  </si>
  <si>
    <t>MAU-SF-elytra-37</t>
  </si>
  <si>
    <t>Mauritius: Mare Aux Songes, MRU_MAS09-15011, MAU-SF-elytra-38</t>
  </si>
  <si>
    <t>MAU-SF-elytra-38</t>
  </si>
  <si>
    <t>Mauritius: Mare Aux Songes, MRU_MAS09-15011, MAU-SF-elytra-39</t>
  </si>
  <si>
    <t>MAU-SF-elytra-39</t>
  </si>
  <si>
    <t>Mauritius: Mare Aux Songes, MRU_MAS07-15011, MAU-SF-head-7</t>
  </si>
  <si>
    <t>MAU-SF-head-7</t>
  </si>
  <si>
    <t>not a dung beetle (Carabidae?); not depicted</t>
  </si>
  <si>
    <t>Mauritius: Mare Aux Songes, MRU_MAS07-15011, MAU-SF-metast-6</t>
  </si>
  <si>
    <t>MAU-SF-metast-6</t>
  </si>
  <si>
    <t>Mauritius: Mare Aux Songes, MRU_MAS09-15011, MAU-SF-proleg-6</t>
  </si>
  <si>
    <t>MAU-SF-proleg-6</t>
  </si>
  <si>
    <t>Mauritius: Mare Aux Songes, MRU_MAS11-104/111, MAU-SF-elytra-40</t>
  </si>
  <si>
    <t>MAU-SF-elytra-40</t>
  </si>
  <si>
    <t>Mauritius: Mare Aux Songes, MRU_MAS11-104/111, MAU-SF-elytra-41</t>
  </si>
  <si>
    <t>MAU-SF-elytra-41</t>
  </si>
  <si>
    <t>Mauritius: Mare Aux Songes, MRU_MAS11-104/111, MAU-SF-elytra-42</t>
  </si>
  <si>
    <t>MAU-SF-elytra-42</t>
  </si>
  <si>
    <t>Mauritius: Mare Aux Songes, MRU_MAS11-104/111, MAU-SF-elytra-43</t>
  </si>
  <si>
    <t>MAU-SF-elytra-43</t>
  </si>
  <si>
    <t>Mauritius: Mare Aux Songes, MRU_MAS11-104/111, MAU-SF-elytra-44</t>
  </si>
  <si>
    <t>MAU-SF-elytra-44</t>
  </si>
  <si>
    <t>Mauritius: Mare Aux Songes, MRU_MAS11-104/111, MAU-SF-elytra-45</t>
  </si>
  <si>
    <t>MAU-SF-elytra-45</t>
  </si>
  <si>
    <t>Mauritius: Mare Aux Songes, MRU_MAS11-104/111, MAU-SF-elytra-46</t>
  </si>
  <si>
    <t>MAU-SF-elytra-46</t>
  </si>
  <si>
    <t>Mauritius: Mare Aux Songes, MRU_MAS11-104/111, MAU-SF-elytra-47</t>
  </si>
  <si>
    <t>MAU-SF-elytra-47</t>
  </si>
  <si>
    <t>Mauritius: Mare Aux Songes, MRU_MAS11-104/111, MAU-SF-elytra-48</t>
  </si>
  <si>
    <t>MAU-SF-elytra-48</t>
  </si>
  <si>
    <t>Mauritius: Mare Aux Songes, MRU_MAS11-104/111, MAU-SF-elytra-49</t>
  </si>
  <si>
    <t>MAU-SF-elytra-49</t>
  </si>
  <si>
    <t>Mauritius: Mare Aux Songes, MRU_MAS11-104/111, MAU-SF-elytra-50</t>
  </si>
  <si>
    <t>MAU-SF-elytra-50</t>
  </si>
  <si>
    <t>Mauritius: Mare Aux Songes, MRU_MAS11-104/111, MAU-SF-elytra-51</t>
  </si>
  <si>
    <t>MAU-SF-elytra-51</t>
  </si>
  <si>
    <t>Mauritius: Mare Aux Songes, MRU_MAS11-104/111, MAU-SF-elytra-52</t>
  </si>
  <si>
    <t>MAU-SF-elytra-52</t>
  </si>
  <si>
    <t>Mauritius: Mare Aux Songes, MRU_MAS11-104/111, MAU-SF-elytra-53</t>
  </si>
  <si>
    <t>MAU-SF-elytra-53</t>
  </si>
  <si>
    <t>it's a head!!</t>
  </si>
  <si>
    <t>Mauritius: Mare Aux Songes, MRU_MAS11-104/111, MAU-SF-elytra-54</t>
  </si>
  <si>
    <t>MAU-SF-elytra-54</t>
  </si>
  <si>
    <t>Mauritius: Mare Aux Songes, MRU_MAS11-104/111, MAU-SF-elytra-55</t>
  </si>
  <si>
    <t>MAU-SF-elytra-55</t>
  </si>
  <si>
    <t>Mauritius: Mare Aux Songes, MRU_MAS11-104/111, MAU-SF-elytra-56</t>
  </si>
  <si>
    <t>MAU-SF-elytra-56</t>
  </si>
  <si>
    <t>Mauritius: Mare Aux Songes, MRU_MAS11-104/111, MAU-SF-elytra-57</t>
  </si>
  <si>
    <t>MAU-SF-elytra-57</t>
  </si>
  <si>
    <t>Mauritius: Mare Aux Songes, MRU_MAS11-104/111, MAU-SF-pron-5</t>
  </si>
  <si>
    <t>MAU-SF-pron-5</t>
  </si>
  <si>
    <t>Mauritius: Mare Aux Songes, MRU_MAS11-104/111, MAU-SF-pron-6</t>
  </si>
  <si>
    <t>MAU-SF-pron-6</t>
  </si>
  <si>
    <t>morpho1-mau</t>
  </si>
  <si>
    <t>Mauritius: Mare Aux Songes, MRU_MAS11-104/111, MAU-SF-pron-7</t>
  </si>
  <si>
    <t>MAU-SF-pron-7</t>
  </si>
  <si>
    <t>Mauritius: Mare Aux Songes, MRU_MAS11-104/111, MAU-SF-pron-8</t>
  </si>
  <si>
    <t>MAU-SF-pron-8</t>
  </si>
  <si>
    <t>like morpho1 but bigger (morpho3?)</t>
  </si>
  <si>
    <t>Mauritius: Mare Aux Songes, MRU_MAS11-104/111, MAU-SF-head-8</t>
  </si>
  <si>
    <t>MAU-SF-head-8</t>
  </si>
  <si>
    <t>Mauritius: Mare Aux Songes, MRU_MAS11-104/111, MAU-SF-head-9</t>
  </si>
  <si>
    <t>MAU-SF-head-9</t>
  </si>
  <si>
    <t>morpho3</t>
  </si>
  <si>
    <t>Mauritius: Mare Aux Songes, MRU_MAS11-104/111, MAU-SF-head-10</t>
  </si>
  <si>
    <t>MAU-SF-head-10</t>
  </si>
  <si>
    <t>Mauritius: Mare Aux Songes, MRU_MAS11-104/111, MAU-SF-head-11</t>
  </si>
  <si>
    <t>MAU-SF-head-11</t>
  </si>
  <si>
    <t>morpho1/4</t>
  </si>
  <si>
    <t>Mauritius: Mare Aux Songes, MRU_MAS11-104/111, MAU-SF-head-12</t>
  </si>
  <si>
    <t>MAU-SF-head-12</t>
  </si>
  <si>
    <t>Mauritius: Mare Aux Songes, MRU_MAS11-104/111, MAU-SF-head-13</t>
  </si>
  <si>
    <t>MAU-SF-head-13</t>
  </si>
  <si>
    <t>Mauritius: Mare Aux Songes, MRU_MAS11-104/111, MAU-SF-head-14</t>
  </si>
  <si>
    <t>MAU-SF-head-14</t>
  </si>
  <si>
    <t>Mauritius: Mare Aux Songes, MRU_MAS11-104/111, MAU-SF-head-15</t>
  </si>
  <si>
    <t>MAU-SF-head-15</t>
  </si>
  <si>
    <t>Mauritius: Mare Aux Songes, MRU_MAS11-104/111, MAU-SF-head-16</t>
  </si>
  <si>
    <t>MAU-SF-head-16</t>
  </si>
  <si>
    <t>Mauritius: Mare Aux Songes, MRU_MAS11-104/111, MAU-SF-head-17</t>
  </si>
  <si>
    <t>MAU-SF-head-17</t>
  </si>
  <si>
    <t>Mauritius: Mare Aux Songes, MRU_MAS11-104/111, MAU-SF-metast-7</t>
  </si>
  <si>
    <t>MAU-SF-metast-7</t>
  </si>
  <si>
    <t>Mauritius: Mare Aux Songes, MRU_MAS11-104/111, MAU-SF-metast-8</t>
  </si>
  <si>
    <t>MAU-SF-metast-8</t>
  </si>
  <si>
    <t>Mauritius: Mare Aux Songes, MRU_MAS11-104/111, MAU-SF-metast-9</t>
  </si>
  <si>
    <t>MAU-SF-metast-9</t>
  </si>
  <si>
    <t>Mauritius: Mare Aux Songes, MRU_MAS11-104/111, MAU-SF-metast-10</t>
  </si>
  <si>
    <t>MAU-SF-metast-10</t>
  </si>
  <si>
    <t>Mauritius: Mare Aux Songes, MRU_MAS11-104/111, MAU-SF-metast-11</t>
  </si>
  <si>
    <t>MAU-SF-metast-11</t>
  </si>
  <si>
    <t>Mauritius: Mare Aux Songes, MRU_MAS11-104/111, MAU-SF-metast-12</t>
  </si>
  <si>
    <t>MAU-SF-metast-12</t>
  </si>
  <si>
    <t>Mauritius: Mare Aux Songes, MRU_MAS11-104/111, MAU-SF-metast-13</t>
  </si>
  <si>
    <t>MAU-SF-metast-13</t>
  </si>
  <si>
    <t>Mauritius: Mare Aux Songes, MRU_MAS11-104/111, MAU-SF-stern-1</t>
  </si>
  <si>
    <t>MAU-SF-stern-1</t>
  </si>
  <si>
    <t>Mauritius: Mare Aux Songes, MRU_MAS09-104/111, MAU-SF-proleg-7</t>
  </si>
  <si>
    <t>MAU-SF-proleg-7</t>
  </si>
  <si>
    <t>Mauritius: Mare Aux Songes, MRU_MAS09-104/111, MAU-SF-proleg-8</t>
  </si>
  <si>
    <t>MAU-SF-proleg-8</t>
  </si>
  <si>
    <t>Mauritius: Mare Aux Songes, MRU_MAS09-104/111, MAU-SF-proleg-9</t>
  </si>
  <si>
    <t>MAU-SF-proleg-9</t>
  </si>
  <si>
    <t>Mauritius: Mare Aux Songes, MRU_MAS09-104/111, MAU-SF-proleg-10</t>
  </si>
  <si>
    <t>MAU-SF-proleg-10</t>
  </si>
  <si>
    <t>Mauritius: Mare Aux Songes, MRU_MAS09-104/111, MAU-SF-proleg-11</t>
  </si>
  <si>
    <t>MAU-SF-proleg-11</t>
  </si>
  <si>
    <t>Mauritius: Mare Aux Songes, MRU_MAS09-104/111, MAU-SF-proleg-12</t>
  </si>
  <si>
    <t>MAU-SF-proleg-12</t>
  </si>
  <si>
    <t>Mauritius: Mare Aux Songes, MRU_MAS09-104/111, MAU-SF-proleg-13</t>
  </si>
  <si>
    <t>MAU-SF-proleg-13</t>
  </si>
  <si>
    <t>Mauritius: Mare Aux Songes, MRU_MAS09-104/111, MAU-SF-proleg-14</t>
  </si>
  <si>
    <t>MAU-SF-proleg-14</t>
  </si>
  <si>
    <t>Mauritius: Mare Aux Songes, MRU_MAS09-104/111, MAU-SF-proleg-15</t>
  </si>
  <si>
    <t>MAU-SF-proleg-15</t>
  </si>
  <si>
    <t>Mauritius: Mare Aux Songes, MRU_MAS09-104/111, MAU-SF-proleg-16</t>
  </si>
  <si>
    <t>MAU-SF-proleg-16</t>
  </si>
  <si>
    <t>Mauritius: Mare Aux Songes, MRU_MAS09-104/111, MAU-SF-unknown-7</t>
  </si>
  <si>
    <t>MAU-SF-unknown-7</t>
  </si>
  <si>
    <t>Mauritius: Mare Aux Songes, MRU_MAS09-104/111, MAU-SF-unknown-8</t>
  </si>
  <si>
    <t>MAU-SF-unknown-8</t>
  </si>
  <si>
    <t>Tentative morphotype</t>
  </si>
  <si>
    <t>Rodrigues: Grotte Fougere, 5-10 cm, ROD-SF-head-1</t>
  </si>
  <si>
    <t>ROD-SF-head-1</t>
  </si>
  <si>
    <t>NA</t>
  </si>
  <si>
    <t>Small fragments, difficult ID</t>
  </si>
  <si>
    <t>Rodrigues: Grotte Fougere, 10-15 cm, ROD-SF-elytra-1</t>
  </si>
  <si>
    <t>ROD-SF-elytra-1</t>
  </si>
  <si>
    <t>m2</t>
  </si>
  <si>
    <t> </t>
  </si>
  <si>
    <t>Rodrigues: Grotte Fougere, 10-15 cm, ROD-SF-pron-1</t>
  </si>
  <si>
    <t>ROD-SF-pron-1</t>
  </si>
  <si>
    <t>m1</t>
  </si>
  <si>
    <t>Rodrigues: Grotte Fougere, 10-15 cm, ROD-SF-head-134</t>
  </si>
  <si>
    <t>ROD-SF-head-134</t>
  </si>
  <si>
    <t>m6</t>
  </si>
  <si>
    <t>Used for aDNA extraction (aDNA16)</t>
  </si>
  <si>
    <t>Rodrigues: Grotte Fougere, 15-20 cm, ROD-SF-elytra-2</t>
  </si>
  <si>
    <t>ROD-SF-elytra-2</t>
  </si>
  <si>
    <t>Rodrigues: Grotte Fougere, 15-20 cm, ROD-SF-elytra-3</t>
  </si>
  <si>
    <t>ROD-SF-elytra-3</t>
  </si>
  <si>
    <t>Rodrigues: Grotte Fougere, 15-20 cm, ROD-SF-elytra-4</t>
  </si>
  <si>
    <t>ROD-SF-elytra-4</t>
  </si>
  <si>
    <t>Rodrigues: Grotte Fougere, 15-20 cm, ROD-SF-elytra-5</t>
  </si>
  <si>
    <t>ROD-SF-elytra-5</t>
  </si>
  <si>
    <t>Rodrigues: Grotte Fougere, 15-20 cm, ROD-SF-elytra-6</t>
  </si>
  <si>
    <t>ROD-SF-elytra-6</t>
  </si>
  <si>
    <t>Rodrigues: Grotte Fougere, 15-20 cm, ROD-SF-elytra-7</t>
  </si>
  <si>
    <t>ROD-SF-elytra-7</t>
  </si>
  <si>
    <t>NA1</t>
  </si>
  <si>
    <t>Rodrigues: Grotte Fougere, 15-20 cm, ROD-SF-pron-2</t>
  </si>
  <si>
    <t>ROD-SF-pron-2</t>
  </si>
  <si>
    <t>Rodrigues: Grotte Fougere, 15-20 cm, ROD-SF-pron-3</t>
  </si>
  <si>
    <t>ROD-SF-pron-3</t>
  </si>
  <si>
    <t>Rodrigues: Grotte Fougere, 15-20 cm, ROD-SF-head-2</t>
  </si>
  <si>
    <t>ROD-SF-head-2</t>
  </si>
  <si>
    <t>m3</t>
  </si>
  <si>
    <t>Rodrigues: Grotte Fougere, 15-20 cm, ROD-SF-head-3</t>
  </si>
  <si>
    <t>ROD-SF-head-3</t>
  </si>
  <si>
    <t>Rodrigues: Grotte Fougere, 15-20 cm, ROD-SF-head-4</t>
  </si>
  <si>
    <t>ROD-SF-head-4</t>
  </si>
  <si>
    <t>Rodrigues: Grotte Fougere, 15-20 cm, ROD-SF-head-5</t>
  </si>
  <si>
    <t>ROD-SF-head-5</t>
  </si>
  <si>
    <t>Rodrigues: Grotte Fougere, 15-20 cm, ROD-SF-metast-1</t>
  </si>
  <si>
    <t>ROD-SF-metast-1</t>
  </si>
  <si>
    <t>Rodrigues: Grotte Fougere, 15-20 cm, ROD-SF-proleg-1</t>
  </si>
  <si>
    <t>ROD-SF-proleg-1</t>
  </si>
  <si>
    <t>Rodrigues: Grotte Fougere, 20-25 cm, ROD-SF-elytra-8</t>
  </si>
  <si>
    <t>ROD-SF-elytra-8</t>
  </si>
  <si>
    <t>m4</t>
  </si>
  <si>
    <t>Rodrigues: Grotte Fougere, 20-25 cm, ROD-SF-elytra-9</t>
  </si>
  <si>
    <t>ROD-SF-elytra-9</t>
  </si>
  <si>
    <t>Rodrigues: Grotte Fougere, 20-25 cm, ROD-SF-elytra-10</t>
  </si>
  <si>
    <t>ROD-SF-elytra-10</t>
  </si>
  <si>
    <t>NA2</t>
  </si>
  <si>
    <t>Rodrigues: Grotte Fougere, 20-25 cm, ROD-SF-elytra-144</t>
  </si>
  <si>
    <t>ROD-SF-elytra-144</t>
  </si>
  <si>
    <t>Used for aDNA extraction (aDNA17)</t>
  </si>
  <si>
    <t>Rodrigues: Grotte Fougere, 20-25 cm, ROD-SF-elytra-145</t>
  </si>
  <si>
    <t>ROD-SF-elytra-145</t>
  </si>
  <si>
    <t>Used for aDNA extraction (aDNA18)</t>
  </si>
  <si>
    <t>Rodrigues: Grotte Fougere, 20-25 cm, ROD-SF-pron-4</t>
  </si>
  <si>
    <t>ROD-SF-pron-4</t>
  </si>
  <si>
    <t>Rodrigues: Grotte Fougere, 20-25 cm, ROD-SF-pron-5</t>
  </si>
  <si>
    <t>ROD-SF-pron-5</t>
  </si>
  <si>
    <t>Rodrigues: Grotte Fougere, 20-25 cm, ROD-SF-pron-58</t>
  </si>
  <si>
    <t>ROD-SF-pron-58</t>
  </si>
  <si>
    <t>Used for aDNA extraction (aDNA19)</t>
  </si>
  <si>
    <t>Rodrigues: Grotte Fougere, 20-25 cm, ROD-SF-metast-2</t>
  </si>
  <si>
    <t>ROD-SF-metast-2</t>
  </si>
  <si>
    <t>Rodrigues: Grotte Fougere, 20-25 cm, ROD-SF-metast-3</t>
  </si>
  <si>
    <t>ROD-SF-metast-3</t>
  </si>
  <si>
    <t>Rodrigues: Grotte Fougere, 20-25 cm, ROD-SF-metast-4</t>
  </si>
  <si>
    <t>ROD-SF-metast-4</t>
  </si>
  <si>
    <t>Rodrigues: Grotte Fougere, 20-25 cm, ROD-SF-metast-5</t>
  </si>
  <si>
    <t>ROD-SF-metast-5</t>
  </si>
  <si>
    <t>Rodrigues: Grotte Fougere, 20-25 cm, ROD-SF-metast-6</t>
  </si>
  <si>
    <t>ROD-SF-metast-6</t>
  </si>
  <si>
    <t>Rodrigues: Grotte Fougere, 20-25 cm, ROD-SF-metast-7</t>
  </si>
  <si>
    <t>ROD-SF-metast-7</t>
  </si>
  <si>
    <t>Rodrigues: Grotte Fougere, 20-25 cm, ROD-SF-head-6</t>
  </si>
  <si>
    <t>ROD-SF-head-6</t>
  </si>
  <si>
    <t>Rodrigues: Grotte Fougere, 20-25 cm, ROD-SF-head-7</t>
  </si>
  <si>
    <t>ROD-SF-head-7</t>
  </si>
  <si>
    <t>Rodrigues: Grotte Fougere, 20-25 cm, ROD-SF-head-8</t>
  </si>
  <si>
    <t>ROD-SF-head-8</t>
  </si>
  <si>
    <t>Rodrigues: Grotte Fougere, 25-30 cm, ROD-SF-elytra-11</t>
  </si>
  <si>
    <t>ROD-SF-elytra-11</t>
  </si>
  <si>
    <t>Rodrigues: Grotte Fougere, 25-30 cm, ROD-SF-elytra-12</t>
  </si>
  <si>
    <t>ROD-SF-elytra-12</t>
  </si>
  <si>
    <t>Rodrigues: Grotte Fougere, 25-30 cm, ROD-SF-elytra-13</t>
  </si>
  <si>
    <t>ROD-SF-elytra-13</t>
  </si>
  <si>
    <t>Rodrigues: Grotte Fougere, 25-30 cm, ROD-SF-elytra-14</t>
  </si>
  <si>
    <t>ROD-SF-elytra-14</t>
  </si>
  <si>
    <t>Rodrigues: Grotte Fougere, 25-30 cm, ROD-SF-elytra-15</t>
  </si>
  <si>
    <t>ROD-SF-elytra-15</t>
  </si>
  <si>
    <t>Rodrigues: Grotte Fougere, 25-30 cm, ROD-SF-elytra-16</t>
  </si>
  <si>
    <t>ROD-SF-elytra-16</t>
  </si>
  <si>
    <t>Rodrigues: Grotte Fougere, 25-30 cm, ROD-SF-elytra-17</t>
  </si>
  <si>
    <t>ROD-SF-elytra-17</t>
  </si>
  <si>
    <t>Rodrigues: Grotte Fougere, 25-30 cm, ROD-SF-elytra-18</t>
  </si>
  <si>
    <t>ROD-SF-elytra-18</t>
  </si>
  <si>
    <t>NA3</t>
  </si>
  <si>
    <t>Rodrigues: Grotte Fougere, 25-30 cm, ROD-SF-elytra-19</t>
  </si>
  <si>
    <t>ROD-SF-elytra-19</t>
  </si>
  <si>
    <t>NA4</t>
  </si>
  <si>
    <t>Rodrigues: Grotte Fougere, 25-30 cm, ROD-SF-elytra-20</t>
  </si>
  <si>
    <t>ROD-SF-elytra-20</t>
  </si>
  <si>
    <t>m5</t>
  </si>
  <si>
    <t>Rodrigues: Grotte Fougere, 25-30 cm, ROD-SF-metast-8</t>
  </si>
  <si>
    <t>ROD-SF-metast-8</t>
  </si>
  <si>
    <t>Rodrigues: Grotte Fougere, 25-30 cm, ROD-SF-metast-9</t>
  </si>
  <si>
    <t>ROD-SF-metast-9</t>
  </si>
  <si>
    <t>Rodrigues: Grotte Fougere, 25-30 cm, ROD-SF-pron-6</t>
  </si>
  <si>
    <t>ROD-SF-pron-6</t>
  </si>
  <si>
    <t>Rodrigues: Grotte Fougere, 25-30 cm, ROD-SF-pron-7</t>
  </si>
  <si>
    <t>ROD-SF-pron-7</t>
  </si>
  <si>
    <t>left fore leg is present (without tarsi)</t>
  </si>
  <si>
    <t>Rodrigues: Grotte Fougere, 25-30 cm, ROD-SF-pron-8</t>
  </si>
  <si>
    <t>ROD-SF-pron-8</t>
  </si>
  <si>
    <t>Completely yellow (like the one with triangular spot), without triangular spot; procoxal cavities short</t>
  </si>
  <si>
    <t>Rodrigues: Grotte Fougere, 25-30 cm, ROD-SF-head-9</t>
  </si>
  <si>
    <t>ROD-SF-head-9</t>
  </si>
  <si>
    <t>Rodrigues: Grotte Fougere, 25-30 cm, ROD-SF-head-10</t>
  </si>
  <si>
    <t>ROD-SF-head-10</t>
  </si>
  <si>
    <t>Rodrigues: Grotte Fougere, 25-30 cm, ROD-SF-head-11</t>
  </si>
  <si>
    <t>ROD-SF-head-11</t>
  </si>
  <si>
    <t>Rodrigues: Grotte Fougere, 25-30 cm, ROD-SF-head-12</t>
  </si>
  <si>
    <t>ROD-SF-head-12</t>
  </si>
  <si>
    <t>Rodrigues: Grotte Fougere, 25-30 cm, ROD-SF-head-13</t>
  </si>
  <si>
    <t>ROD-SF-head-13</t>
  </si>
  <si>
    <t>Rodrigues: Grotte Fougere, 30-35 cm, ROD-SF-pron-9</t>
  </si>
  <si>
    <t>ROD-SF-pron-9</t>
  </si>
  <si>
    <t>both fore legs are presents (whitout tarsi)</t>
  </si>
  <si>
    <t>Rodrigues: Grotte Fougere, 30-35 cm, ROD-SF-pron-10</t>
  </si>
  <si>
    <t>ROD-SF-pron-10</t>
  </si>
  <si>
    <t>right fore leg is present (whitout tarsi)</t>
  </si>
  <si>
    <t>Rodrigues: Grotte Fougere, 30-35 cm, ROD-SF-pron-59</t>
  </si>
  <si>
    <t>ROD-SF-pron-59</t>
  </si>
  <si>
    <t>Used for aDNA extraction (aDNA23)</t>
  </si>
  <si>
    <t>Rodrigues: Grotte Fougere, 30-35 cm, ROD-SF-head-14</t>
  </si>
  <si>
    <t>ROD-SF-head-14</t>
  </si>
  <si>
    <t>Rodrigues: Grotte Fougere, 30-35 cm, ROD-SF-head-135</t>
  </si>
  <si>
    <t>ROD-SF-head-135</t>
  </si>
  <si>
    <t>Used for aDNA extraction (aDNA20)</t>
  </si>
  <si>
    <t>Rodrigues: Grotte Fougere, 30-35 cm, ROD-SF-head-136</t>
  </si>
  <si>
    <t>ROD-SF-head-136</t>
  </si>
  <si>
    <t>Used for aDNA extraction (aDNA21)</t>
  </si>
  <si>
    <t>Rodrigues: Grotte Fougere, 30-35 cm, ROD-SF-metast-10</t>
  </si>
  <si>
    <t>ROD-SF-metast-10</t>
  </si>
  <si>
    <t>Rodrigues: Grotte Fougere, 30-35 cm, ROD-SF-metast-11</t>
  </si>
  <si>
    <t>ROD-SF-metast-11</t>
  </si>
  <si>
    <t>Rodrigues: Grotte Fougere, 30-35 cm, ROD-SF-metast-12</t>
  </si>
  <si>
    <t>ROD-SF-metast-12</t>
  </si>
  <si>
    <t>Rodrigues: Grotte Fougere, 30-35 cm, ROD-SF-elytra-21</t>
  </si>
  <si>
    <t>ROD-SF-elytra-21</t>
  </si>
  <si>
    <t>fragment, difficult to ID</t>
  </si>
  <si>
    <t>Rodrigues: Grotte Fougere, 30-35 cm, ROD-SF-elytra-22</t>
  </si>
  <si>
    <t>ROD-SF-elytra-22</t>
  </si>
  <si>
    <t>Rodrigues: Grotte Fougere, 30-35 cm, ROD-SF-elytra-23</t>
  </si>
  <si>
    <t>ROD-SF-elytra-23</t>
  </si>
  <si>
    <t>Rodrigues: Grotte Fougere, 30-35 cm, ROD-SF-elytra-146</t>
  </si>
  <si>
    <t>ROD-SF-elytra-146</t>
  </si>
  <si>
    <t>Used for aDNA extraction (aDNA22)</t>
  </si>
  <si>
    <t>Rodrigues: Grotte Fougere, 35-40 cm, ROD-SF-head-15</t>
  </si>
  <si>
    <t>ROD-SF-head-15</t>
  </si>
  <si>
    <t>Rodrigues: Grotte Fougere, 35-40 cm, ROD-SF-head-16</t>
  </si>
  <si>
    <t>ROD-SF-head-16</t>
  </si>
  <si>
    <t>Rodrigues: Grotte Fougere, 35-40 cm, ROD-SF-head-17</t>
  </si>
  <si>
    <t>ROD-SF-head-17</t>
  </si>
  <si>
    <t>Rodrigues: Grotte Fougere, 35-40 cm, ROD-SF-head-18</t>
  </si>
  <si>
    <t>ROD-SF-head-18</t>
  </si>
  <si>
    <t>Rodrigues: Grotte Fougere, 35-40 cm, ROD-SF-head-19</t>
  </si>
  <si>
    <t>ROD-SF-head-19</t>
  </si>
  <si>
    <t>Rodrigues: Grotte Fougere, 35-40 cm, ROD-SF-head-20</t>
  </si>
  <si>
    <t>ROD-SF-head-20</t>
  </si>
  <si>
    <t>Rodrigues: Grotte Fougere, 35-40 cm, ROD-SF-pron-11</t>
  </si>
  <si>
    <t>ROD-SF-pron-11</t>
  </si>
  <si>
    <t>Rodrigues: Grotte Fougere, 35-40 cm, ROD-SF-pron-12</t>
  </si>
  <si>
    <t>ROD-SF-pron-12</t>
  </si>
  <si>
    <t>Rodrigues: Grotte Fougere, 35-40 cm, ROD-SF-metast-13</t>
  </si>
  <si>
    <t>ROD-SF-metast-13</t>
  </si>
  <si>
    <t>Rodrigues: Grotte Fougere, 35-40 cm, ROD-SF-elytra-24</t>
  </si>
  <si>
    <t>ROD-SF-elytra-24</t>
  </si>
  <si>
    <t>fragment, difficult ID</t>
  </si>
  <si>
    <t>Rodrigues: Grotte Fougere, 35-40 cm, ROD-SF-elytra-25</t>
  </si>
  <si>
    <t>ROD-SF-elytra-25</t>
  </si>
  <si>
    <t>long spots on all interstriae</t>
  </si>
  <si>
    <t>Rodrigues: Grotte Fougere, 35-40 cm, ROD-SF-elytra-26</t>
  </si>
  <si>
    <t>ROD-SF-elytra-26</t>
  </si>
  <si>
    <t>Maybe new morphotype, same as NA2</t>
  </si>
  <si>
    <t>Rodrigues: Grotte Fougere, 35-40 cm, ROD-SF-elytra-27</t>
  </si>
  <si>
    <t>ROD-SF-elytra-27</t>
  </si>
  <si>
    <t>Rodrigues: Grotte Fougere, 35-40 cm, ROD-SF-elytra-28</t>
  </si>
  <si>
    <t>ROD-SF-elytra-28</t>
  </si>
  <si>
    <t>NA5</t>
  </si>
  <si>
    <t>Rodrigues: Grotte Fougere, 35-40 cm, ROD-SF-elytra-29</t>
  </si>
  <si>
    <t>ROD-SF-elytra-29</t>
  </si>
  <si>
    <t>NA6</t>
  </si>
  <si>
    <t>Rodrigues: Grotte Fougere, 35-40 cm, ROD-SF-elytra-30</t>
  </si>
  <si>
    <t>ROD-SF-elytra-30</t>
  </si>
  <si>
    <t>NA7</t>
  </si>
  <si>
    <t>long spots on interstriae</t>
  </si>
  <si>
    <t>Rodrigues: Grotte Fougere, 35-40 cm, ROD-SF-elytra-31</t>
  </si>
  <si>
    <t>ROD-SF-elytra-31</t>
  </si>
  <si>
    <t>Rodrigues: Grotte Fougere, 35-40 cm, ROD-SF-elytra-32</t>
  </si>
  <si>
    <t>ROD-SF-elytra-32</t>
  </si>
  <si>
    <t>Rodrigues: Grotte Fougere, 35-40 cm, ROD-SF-elytra-33</t>
  </si>
  <si>
    <t>ROD-SF-elytra-33</t>
  </si>
  <si>
    <t>long spots on all interstriae, with pocket</t>
  </si>
  <si>
    <t>Rodrigues: Grotte Fougere, 40-45 cm, ROD-SF-pron-13</t>
  </si>
  <si>
    <t>ROD-SF-pron-13</t>
  </si>
  <si>
    <t>Rodrigues: Grotte Fougere, 40-45 cm, ROD-SF-pron-14</t>
  </si>
  <si>
    <t>ROD-SF-pron-14</t>
  </si>
  <si>
    <t>Rodrigues: Grotte Fougere, 40-45 cm, ROD-SF-elytra-34</t>
  </si>
  <si>
    <t>ROD-SF-elytra-34</t>
  </si>
  <si>
    <t>Rodrigues: Grotte Fougere, 40-45 cm, ROD-SF-elytra-35</t>
  </si>
  <si>
    <t>ROD-SF-elytra-35</t>
  </si>
  <si>
    <t>Rodrigues: Grotte Fougere, 40-45 cm, ROD-SF-elytra-36</t>
  </si>
  <si>
    <t>ROD-SF-elytra-36</t>
  </si>
  <si>
    <t>small fragment, difficult ID</t>
  </si>
  <si>
    <t>Rodrigues: Grotte Fougere, 40-45 cm, ROD-SF-elytra-37</t>
  </si>
  <si>
    <t>ROD-SF-elytra-37</t>
  </si>
  <si>
    <t>Maybe new morphotype</t>
  </si>
  <si>
    <t>Rodrigues: Grotte Fougere, 40-45 cm, ROD-SF-elytra-38</t>
  </si>
  <si>
    <t>ROD-SF-elytra-38</t>
  </si>
  <si>
    <t>Rodrigues: Grotte Fougere, 40-45 cm, ROD-SF-elytra-39</t>
  </si>
  <si>
    <t>ROD-SF-elytra-39</t>
  </si>
  <si>
    <t>broken, difficult ID</t>
  </si>
  <si>
    <t>Rodrigues: Grotte Fougere, 40-45 cm, ROD-SF-elytra-40</t>
  </si>
  <si>
    <t>ROD-SF-elytra-40</t>
  </si>
  <si>
    <t>Rodrigues: Grotte Fougere, 40-45 cm, ROD-SF-elytra-41</t>
  </si>
  <si>
    <t>ROD-SF-elytra-41</t>
  </si>
  <si>
    <t>m7</t>
  </si>
  <si>
    <t>Rodrigues: Grotte Fougere, 40-45 cm, ROD-SF-head-21</t>
  </si>
  <si>
    <t>ROD-SF-head-21</t>
  </si>
  <si>
    <t>Rodrigues: Grotte Fougere, 40-45 cm, ROD-SF-head-22</t>
  </si>
  <si>
    <t>ROD-SF-head-22</t>
  </si>
  <si>
    <t>similar to m1 but no frontal fossa</t>
  </si>
  <si>
    <t>Rodrigues: Grotte Fougere, 40-45 cm, ROD-SF-head-23</t>
  </si>
  <si>
    <t>ROD-SF-head-23</t>
  </si>
  <si>
    <t>similar to m1, but partly damaged, difficult ID</t>
  </si>
  <si>
    <t>Rodrigues: Grotte Fougere, 40-45 cm, ROD-SF-head-24</t>
  </si>
  <si>
    <t>ROD-SF-head-24</t>
  </si>
  <si>
    <t>Rodrigues: Grotte Fougere, 45-50 cm, ROD-SF-head-25</t>
  </si>
  <si>
    <t>ROD-SF-head-25</t>
  </si>
  <si>
    <t>Rodrigues: Grotte Fougere, 45-50 cm, ROD-SF-head-26</t>
  </si>
  <si>
    <t>ROD-SF-head-26</t>
  </si>
  <si>
    <t>Rodrigues: Grotte Fougere, 45-50 cm, ROD-SF-head-27</t>
  </si>
  <si>
    <t>ROD-SF-head-27</t>
  </si>
  <si>
    <t>Rodrigues: Grotte Fougere, 45-50 cm, ROD-SF-head-28</t>
  </si>
  <si>
    <t>ROD-SF-head-28</t>
  </si>
  <si>
    <t>Rodrigues: Grotte Fougere, 45-50 cm, ROD-SF-head-29</t>
  </si>
  <si>
    <t>ROD-SF-head-29</t>
  </si>
  <si>
    <t>Rodrigues: Grotte Fougere, 45-50 cm, ROD-SF-head-30</t>
  </si>
  <si>
    <t>ROD-SF-head-30</t>
  </si>
  <si>
    <t>Rodrigues: Grotte Fougere, 45-50 cm, ROD-SF-head-31</t>
  </si>
  <si>
    <t>ROD-SF-head-31</t>
  </si>
  <si>
    <t>Rodrigues: Grotte Fougere, 45-50 cm, ROD-SF-head-32</t>
  </si>
  <si>
    <t>ROD-SF-head-32</t>
  </si>
  <si>
    <t>Fragments, difficult ID</t>
  </si>
  <si>
    <t>Rodrigues: Grotte Fougere, 45-50 cm, ROD-SF-head-33</t>
  </si>
  <si>
    <t>ROD-SF-head-33</t>
  </si>
  <si>
    <t>Rodrigues: Grotte Fougere, 45-50 cm, ROD-SF-head-34</t>
  </si>
  <si>
    <t>ROD-SF-head-34</t>
  </si>
  <si>
    <t>Rodrigues: Grotte Fougere, 45-50 cm, ROD-SF-head-35</t>
  </si>
  <si>
    <t>ROD-SF-head-35</t>
  </si>
  <si>
    <t>Rodrigues: Grotte Fougere, 45-50 cm, ROD-SF-head-36</t>
  </si>
  <si>
    <t>ROD-SF-head-36</t>
  </si>
  <si>
    <t>Rodrigues: Grotte Fougere, 45-50 cm, ROD-SF-head-37</t>
  </si>
  <si>
    <t>ROD-SF-head-37</t>
  </si>
  <si>
    <t>Rodrigues: Grotte Fougere, 45-50 cm, ROD-SF-head-38</t>
  </si>
  <si>
    <t>ROD-SF-head-38</t>
  </si>
  <si>
    <t>Rodrigues: Grotte Fougere, 45-50 cm, ROD-SF-head-39</t>
  </si>
  <si>
    <t>ROD-SF-head-39</t>
  </si>
  <si>
    <t>Rodrigues: Grotte Fougere, 45-50 cm, ROD-SF-pron-15</t>
  </si>
  <si>
    <t>ROD-SF-pron-15</t>
  </si>
  <si>
    <t>with fragment of proleg</t>
  </si>
  <si>
    <t>Rodrigues: Grotte Fougere, 45-50 cm, ROD-SF-pron-16</t>
  </si>
  <si>
    <t>ROD-SF-pron-16</t>
  </si>
  <si>
    <t>Rodrigues: Grotte Fougere, 45-50 cm, ROD-SF-pron-17</t>
  </si>
  <si>
    <t>ROD-SF-pron-17</t>
  </si>
  <si>
    <t>Rodrigues: Grotte Fougere, 45-50 cm, ROD-SF-pron-18</t>
  </si>
  <si>
    <t>ROD-SF-pron-18</t>
  </si>
  <si>
    <t>Rodrigues: Grotte Fougere, 45-50 cm, ROD-SF-pron-19</t>
  </si>
  <si>
    <t>ROD-SF-pron-19</t>
  </si>
  <si>
    <t>Rodrigues: Grotte Fougere, 45-50 cm, ROD-SF-metast-14</t>
  </si>
  <si>
    <t>ROD-SF-metast-14</t>
  </si>
  <si>
    <t>Rodrigues: Grotte Fougere, 45-50 cm, ROD-SF-metast-15</t>
  </si>
  <si>
    <t>ROD-SF-metast-15</t>
  </si>
  <si>
    <t>fragment</t>
  </si>
  <si>
    <t>Rodrigues: Grotte Fougere, 45-50 cm, ROD-SF-proleg-2</t>
  </si>
  <si>
    <t>ROD-SF-proleg-2</t>
  </si>
  <si>
    <t>only procoxa and profemur</t>
  </si>
  <si>
    <t>Rodrigues: Grotte Fougere, 45-50 cm, ROD-SF-elytra-42</t>
  </si>
  <si>
    <t>ROD-SF-elytra-42</t>
  </si>
  <si>
    <t>Rodrigues: Grotte Fougere, 45-50 cm, ROD-SF-elytra-43</t>
  </si>
  <si>
    <t>ROD-SF-elytra-43</t>
  </si>
  <si>
    <t>maybe new morphotype (with poket, probably striped, with swollen apical and lateral side)</t>
  </si>
  <si>
    <t>Rodrigues: Grotte Fougere, 45-50 cm, ROD-SF-elytra-44</t>
  </si>
  <si>
    <t>ROD-SF-elytra-44</t>
  </si>
  <si>
    <t>difficult to ID</t>
  </si>
  <si>
    <t>Rodrigues: Grotte Fougere, 45-50 cm, ROD-SF-elytra-45</t>
  </si>
  <si>
    <t>ROD-SF-elytra-45</t>
  </si>
  <si>
    <t>maybe elytra-m4</t>
  </si>
  <si>
    <t>Rodrigues: Grotte Fougere, 45-50 cm, ROD-SF-elytra-46</t>
  </si>
  <si>
    <t>ROD-SF-elytra-46</t>
  </si>
  <si>
    <t>Rodrigues: Grotte Fougere, 45-50 cm, ROD-SF-elytra-47</t>
  </si>
  <si>
    <t>ROD-SF-elytra-47</t>
  </si>
  <si>
    <t>fragment, difficult ID; Maybe elytra-m3</t>
  </si>
  <si>
    <t>Rodrigues: Grotte Fougere, 45-50 cm, ROD-SF-elytra-48</t>
  </si>
  <si>
    <t>ROD-SF-elytra-48</t>
  </si>
  <si>
    <t>Rodrigues: Grotte Fougere, 45-50 cm, ROD-SF-elytra-49</t>
  </si>
  <si>
    <t>ROD-SF-elytra-49</t>
  </si>
  <si>
    <t>NA8</t>
  </si>
  <si>
    <t>fragment, difficult ID, maybe elytra-m7</t>
  </si>
  <si>
    <t>Rodrigues: Grotte Fougere, 45-50 cm, ROD-SF-elytra-50</t>
  </si>
  <si>
    <t>ROD-SF-elytra-50</t>
  </si>
  <si>
    <t>very small fragment of apical part (easy to see the poket)</t>
  </si>
  <si>
    <t>Rodrigues: Grotte Fougere, 45-50 cm, ROD-SF-elytra-51</t>
  </si>
  <si>
    <t>ROD-SF-elytra-51</t>
  </si>
  <si>
    <t>Rodrigues: Grotte Fougere, 45-50 cm, ROD-SF-elytra-52</t>
  </si>
  <si>
    <t>ROD-SF-elytra-52</t>
  </si>
  <si>
    <t>elytra broken</t>
  </si>
  <si>
    <t>Rodrigues: Grotte Fougere, 45-50 cm, ROD-SF-elytra-53</t>
  </si>
  <si>
    <t>ROD-SF-elytra-53</t>
  </si>
  <si>
    <t>Rodrigues: Grotte Fougere, 45-50 cm, ROD-SF-elytra-54</t>
  </si>
  <si>
    <t>ROD-SF-elytra-54</t>
  </si>
  <si>
    <t>apical fragment, probably wrong ID</t>
  </si>
  <si>
    <t>Rodrigues: Grotte Fougere, 50-55 cm, ROD-SF-head-40</t>
  </si>
  <si>
    <t>ROD-SF-head-40</t>
  </si>
  <si>
    <t>Rodrigues: Grotte Fougere, 50-55 cm, ROD-SF-head-41</t>
  </si>
  <si>
    <t>ROD-SF-head-41</t>
  </si>
  <si>
    <t>Rodrigues: Grotte Fougere, 50-55 cm, ROD-SF-head-42</t>
  </si>
  <si>
    <t>ROD-SF-head-42</t>
  </si>
  <si>
    <t>Rodrigues: Grotte Fougere, 50-55 cm, ROD-SF-head-43</t>
  </si>
  <si>
    <t>ROD-SF-head-43</t>
  </si>
  <si>
    <t>Rodrigues: Grotte Fougere, 50-55 cm, ROD-SF-head-44</t>
  </si>
  <si>
    <t>ROD-SF-head-44</t>
  </si>
  <si>
    <t xml:space="preserve">small fragment, but clerly head-m1 </t>
  </si>
  <si>
    <t>Rodrigues: Grotte Fougere, 50-55 cm, ROD-SF-head-45</t>
  </si>
  <si>
    <t>ROD-SF-head-45</t>
  </si>
  <si>
    <t>Rodrigues: Grotte Fougere, 50-55 cm, ROD-SF-head-46</t>
  </si>
  <si>
    <t>ROD-SF-head-46</t>
  </si>
  <si>
    <t>Rodrigues: Grotte Fougere, 50-55 cm, ROD-SF-head-47</t>
  </si>
  <si>
    <t>ROD-SF-head-47</t>
  </si>
  <si>
    <t>Rodrigues: Grotte Fougere, 50-55 cm, ROD-SF-head-48</t>
  </si>
  <si>
    <t>ROD-SF-head-48</t>
  </si>
  <si>
    <t>Rodrigues: Grotte Fougere, 50-55 cm, ROD-SF-head-49</t>
  </si>
  <si>
    <t>ROD-SF-head-49</t>
  </si>
  <si>
    <t>fragment, difficult ID; it should be head-m4</t>
  </si>
  <si>
    <t>Rodrigues: Grotte Fougere, 50-55 cm, ROD-SF-elytra-55</t>
  </si>
  <si>
    <t>ROD-SF-elytra-55</t>
  </si>
  <si>
    <t>Rodrigues: Grotte Fougere, 50-55 cm, ROD-SF-elytra-56</t>
  </si>
  <si>
    <t>ROD-SF-elytra-56</t>
  </si>
  <si>
    <t>Fragment, difficult to ID</t>
  </si>
  <si>
    <t>Rodrigues: Grotte Fougere, 50-55 cm, ROD-SF-elytra-57</t>
  </si>
  <si>
    <t>ROD-SF-elytra-57</t>
  </si>
  <si>
    <t>Rodrigues: Grotte Fougere, 50-55 cm, ROD-SF-elytra-58</t>
  </si>
  <si>
    <t>ROD-SF-elytra-58</t>
  </si>
  <si>
    <t>Rodrigues: Grotte Fougere, 50-55 cm, ROD-SF-elytra-59</t>
  </si>
  <si>
    <t>ROD-SF-elytra-59</t>
  </si>
  <si>
    <t>Rodrigues: Grotte Fougere, 50-55 cm, ROD-SF-elytra-60</t>
  </si>
  <si>
    <t>ROD-SF-elytra-60</t>
  </si>
  <si>
    <t>Rodrigues: Grotte Fougere, 50-55 cm, ROD-SF-elytra-61</t>
  </si>
  <si>
    <t>ROD-SF-elytra-61</t>
  </si>
  <si>
    <t>Small fragment, but easy to see the poket</t>
  </si>
  <si>
    <t>Rodrigues: Grotte Fougere, 50-55 cm, ROD-SF-elytra-62</t>
  </si>
  <si>
    <t>ROD-SF-elytra-62</t>
  </si>
  <si>
    <t>m8</t>
  </si>
  <si>
    <t>Rodrigues: Grotte Fougere, 50-55 cm, ROD-SF-pron-20</t>
  </si>
  <si>
    <t>ROD-SF-pron-20</t>
  </si>
  <si>
    <t>Rodrigues: Grotte Fougere, 50-55 cm, ROD-SF-proleg-3</t>
  </si>
  <si>
    <t>ROD-SF-proleg-3</t>
  </si>
  <si>
    <t xml:space="preserve">leg entire </t>
  </si>
  <si>
    <t>Rodrigues: Grotte Fougere, 50-55 cm, ROD-SF-proleg-4</t>
  </si>
  <si>
    <t>ROD-SF-proleg-4</t>
  </si>
  <si>
    <t>protibia with broken apical tooth; strange one</t>
  </si>
  <si>
    <t>Rodrigues: Grotte Fougere, 55-60 cm, ROD-SF-proleg-5</t>
  </si>
  <si>
    <t>ROD-SF-proleg-5</t>
  </si>
  <si>
    <t>Rodrigues: Grotte Fougere, 55-60 cm, ROD-SF-proleg-6</t>
  </si>
  <si>
    <t>ROD-SF-proleg-6</t>
  </si>
  <si>
    <t>Rodrigues: Grotte Fougere, 55-60 cm, ROD-SF-proleg-7</t>
  </si>
  <si>
    <t>ROD-SF-proleg-7</t>
  </si>
  <si>
    <t>Rodrigues: Grotte Fougere, 55-60 cm, ROD-SF-proleg-8</t>
  </si>
  <si>
    <t>ROD-SF-proleg-8</t>
  </si>
  <si>
    <t>Rodrigues: Grotte Fougere, 55-60 cm, ROD-SF-pron-21</t>
  </si>
  <si>
    <t>ROD-SF-pron-21</t>
  </si>
  <si>
    <t>Rodrigues: Grotte Fougere, 55-60 cm, ROD-SF-pron-22</t>
  </si>
  <si>
    <t>ROD-SF-pron-22</t>
  </si>
  <si>
    <t>Rodrigues: Grotte Fougere, 55-60 cm, ROD-SF-pron-23</t>
  </si>
  <si>
    <t>ROD-SF-pron-23</t>
  </si>
  <si>
    <t>Rodrigues: Grotte Fougere, 55-60 cm, ROD-SF-pron-24</t>
  </si>
  <si>
    <t>ROD-SF-pron-24</t>
  </si>
  <si>
    <t>Rodrigues: Grotte Fougere, 55-60 cm, ROD-SF-pron-25</t>
  </si>
  <si>
    <t>ROD-SF-pron-25</t>
  </si>
  <si>
    <t>with one leg, which looks different from the one from serrated pronotum</t>
  </si>
  <si>
    <t>Rodrigues: Grotte Fougere, 55-60 cm, ROD-SF-pron-26</t>
  </si>
  <si>
    <t>ROD-SF-pron-26</t>
  </si>
  <si>
    <t>Rodrigues: Grotte Fougere, 55-60 cm, ROD-SF-pron-27</t>
  </si>
  <si>
    <t>ROD-SF-pron-27</t>
  </si>
  <si>
    <t>Rodrigues: Grotte Fougere, 55-60 cm, ROD-SF-pron-28</t>
  </si>
  <si>
    <t>ROD-SF-pron-28</t>
  </si>
  <si>
    <t>maybe pron-m2</t>
  </si>
  <si>
    <t>Rodrigues: Grotte Fougere, 55-60 cm, ROD-SF-pron-29</t>
  </si>
  <si>
    <t>ROD-SF-pron-29</t>
  </si>
  <si>
    <t>Rodrigues: Grotte Fougere, 55-60 cm, ROD-SF-pron-30</t>
  </si>
  <si>
    <t>ROD-SF-pron-30</t>
  </si>
  <si>
    <t xml:space="preserve"> POSTERIOR MARGIN STRONGLY SERRATED</t>
  </si>
  <si>
    <t>Rodrigues: Grotte Fougere, 55-60 cm, ROD-SF-head-50</t>
  </si>
  <si>
    <t>ROD-SF-head-50</t>
  </si>
  <si>
    <t>sp. heavily puctured</t>
  </si>
  <si>
    <t>Rodrigues: Grotte Fougere, 55-60 cm, ROD-SF-head-51</t>
  </si>
  <si>
    <t>ROD-SF-head-51</t>
  </si>
  <si>
    <t>Rodrigues: Grotte Fougere, 55-60 cm, ROD-SF-head-52</t>
  </si>
  <si>
    <t>ROD-SF-head-52</t>
  </si>
  <si>
    <t>Rodrigues: Grotte Fougere, 55-60 cm, ROD-SF-head-53</t>
  </si>
  <si>
    <t>ROD-SF-head-53</t>
  </si>
  <si>
    <t>Rodrigues: Grotte Fougere, 55-60 cm, ROD-SF-head-54</t>
  </si>
  <si>
    <t>ROD-SF-head-54</t>
  </si>
  <si>
    <t>Rodrigues: Grotte Fougere, 55-60 cm, ROD-SF-head-55</t>
  </si>
  <si>
    <t>ROD-SF-head-55</t>
  </si>
  <si>
    <t>Rodrigues: Grotte Fougere, 55-60 cm, ROD-SF-head-56</t>
  </si>
  <si>
    <t>ROD-SF-head-56</t>
  </si>
  <si>
    <t>Rodrigues: Grotte Fougere, 55-60 cm, ROD-SF-head-57</t>
  </si>
  <si>
    <t>ROD-SF-head-57</t>
  </si>
  <si>
    <t>Rodrigues: Grotte Fougere, 55-60 cm, ROD-SF-head-58</t>
  </si>
  <si>
    <t>ROD-SF-head-58</t>
  </si>
  <si>
    <t>Rodrigues: Grotte Fougere, 55-60 cm, ROD-SF-head-59</t>
  </si>
  <si>
    <t>ROD-SF-head-59</t>
  </si>
  <si>
    <t>Rodrigues: Grotte Fougere, 55-60 cm, ROD-SF-head-60</t>
  </si>
  <si>
    <t>ROD-SF-head-60</t>
  </si>
  <si>
    <t>Rodrigues: Grotte Fougere, 55-60 cm, ROD-SF-head-61</t>
  </si>
  <si>
    <t>ROD-SF-head-61</t>
  </si>
  <si>
    <t>fragment broken, one tooth missing</t>
  </si>
  <si>
    <t>Rodrigues: Grotte Fougere, 55-60 cm, ROD-SF-head-62</t>
  </si>
  <si>
    <t>ROD-SF-head-62</t>
  </si>
  <si>
    <t>Rodrigues: Grotte Fougere, 55-60 cm, ROD-SF-head-63</t>
  </si>
  <si>
    <t>ROD-SF-head-63</t>
  </si>
  <si>
    <t>Rodrigues: Grotte Fougere, 55-60 cm, ROD-SF-elytra-63</t>
  </si>
  <si>
    <t>ROD-SF-elytra-63</t>
  </si>
  <si>
    <t>Rodrigues: Grotte Fougere, 55-60 cm, ROD-SF-elytra-64</t>
  </si>
  <si>
    <t>ROD-SF-elytra-64</t>
  </si>
  <si>
    <t>Rodrigues: Grotte Fougere, 55-60 cm, ROD-SF-elytra-65</t>
  </si>
  <si>
    <t>ROD-SF-elytra-65</t>
  </si>
  <si>
    <t>Rodrigues: Grotte Fougere, 55-60 cm, ROD-SF-elytra-66</t>
  </si>
  <si>
    <t>ROD-SF-elytra-66</t>
  </si>
  <si>
    <t>Rodrigues: Grotte Fougere, 55-60 cm, ROD-SF-elytra-67</t>
  </si>
  <si>
    <t>ROD-SF-elytra-67</t>
  </si>
  <si>
    <t>Rodrigues: Grotte Fougere, 55-60 cm, ROD-SF-elytra-68</t>
  </si>
  <si>
    <t>ROD-SF-elytra-68</t>
  </si>
  <si>
    <t xml:space="preserve">fragment, difficult ID </t>
  </si>
  <si>
    <t>Rodrigues: Grotte Fougere, 55-60 cm, ROD-SF-elytra-69</t>
  </si>
  <si>
    <t>ROD-SF-elytra-69</t>
  </si>
  <si>
    <t>Rodrigues: Grotte Fougere, 55-60 cm, ROD-SF-elytra-70</t>
  </si>
  <si>
    <t>ROD-SF-elytra-70</t>
  </si>
  <si>
    <t>Rodrigues: Grotte Fougere, 55-60 cm, ROD-SF-elytra-71</t>
  </si>
  <si>
    <t>ROD-SF-elytra-71</t>
  </si>
  <si>
    <t>Rodrigues: Grotte Fougere, 55-60 cm, ROD-SF-elytra-72</t>
  </si>
  <si>
    <t>ROD-SF-elytra-72</t>
  </si>
  <si>
    <t>Rodrigues: Grotte Fougere, 55-60 cm, ROD-SF-elytra-73</t>
  </si>
  <si>
    <t>ROD-SF-elytra-73</t>
  </si>
  <si>
    <t>Rodrigues: Grotte Fougere, 55-60 cm, ROD-SF-elytra-74</t>
  </si>
  <si>
    <t>ROD-SF-elytra-74</t>
  </si>
  <si>
    <t>Rodrigues: Grotte Fougere, 60-65 cm, ROD-SF-pron-31</t>
  </si>
  <si>
    <t>ROD-SF-pron-31</t>
  </si>
  <si>
    <t>Rodrigues: Grotte Fougere, 60-65 cm, ROD-SF-pron-32</t>
  </si>
  <si>
    <t>ROD-SF-pron-32</t>
  </si>
  <si>
    <t>Rodrigues: Grotte Fougere, 60-65 cm, ROD-SF-pron-33</t>
  </si>
  <si>
    <t>ROD-SF-pron-33</t>
  </si>
  <si>
    <t>Rodrigues: Grotte Fougere, 60-65 cm, ROD-SF-pron-34</t>
  </si>
  <si>
    <t>ROD-SF-pron-34</t>
  </si>
  <si>
    <t>Rodrigues: Grotte Fougere, 60-65 cm, ROD-SF-pron-35</t>
  </si>
  <si>
    <t>ROD-SF-pron-35</t>
  </si>
  <si>
    <t>Rodrigues: Grotte Fougere, 60-65 cm, ROD-SF-head-64</t>
  </si>
  <si>
    <t>ROD-SF-head-64</t>
  </si>
  <si>
    <t>Rodrigues: Grotte Fougere, 60-65 cm, ROD-SF-head-65</t>
  </si>
  <si>
    <t>ROD-SF-head-65</t>
  </si>
  <si>
    <t>Rodrigues: Grotte Fougere, 60-65 cm, ROD-SF-head-66</t>
  </si>
  <si>
    <t>ROD-SF-head-66</t>
  </si>
  <si>
    <t>Rodrigues: Grotte Fougere, 60-65 cm, ROD-SF-head-67</t>
  </si>
  <si>
    <t>ROD-SF-head-67</t>
  </si>
  <si>
    <t>Rodrigues: Grotte Fougere, 60-65 cm, ROD-SF-head-68</t>
  </si>
  <si>
    <t>ROD-SF-head-68</t>
  </si>
  <si>
    <t>Rodrigues: Grotte Fougere, 60-65 cm, ROD-SF-head-69</t>
  </si>
  <si>
    <t>ROD-SF-head-69</t>
  </si>
  <si>
    <t>Rodrigues: Grotte Fougere, 60-65 cm, ROD-SF-head-70</t>
  </si>
  <si>
    <t>ROD-SF-head-70</t>
  </si>
  <si>
    <t>Rodrigues: Grotte Fougere, 60-65 cm, ROD-SF-head-71</t>
  </si>
  <si>
    <t>ROD-SF-head-71</t>
  </si>
  <si>
    <t>Rodrigues: Grotte Fougere, 60-65 cm, ROD-SF-head-72</t>
  </si>
  <si>
    <t>ROD-SF-head-72</t>
  </si>
  <si>
    <t>Rodrigues: Grotte Fougere, 60-65 cm, ROD-SF-head-73</t>
  </si>
  <si>
    <t>ROD-SF-head-73</t>
  </si>
  <si>
    <t>very small fragment, difficult ID</t>
  </si>
  <si>
    <t>Rodrigues: Grotte Fougere, 60-65 cm, ROD-SF-metast-16</t>
  </si>
  <si>
    <t>ROD-SF-metast-16</t>
  </si>
  <si>
    <t>Rodrigues: Grotte Fougere, 60-65 cm, ROD-SF-elytra-75</t>
  </si>
  <si>
    <t>ROD-SF-elytra-75</t>
  </si>
  <si>
    <t>entire elytra, maybe m7</t>
  </si>
  <si>
    <t>Rodrigues: Grotte Fougere, 60-65 cm, ROD-SF-elytra-76</t>
  </si>
  <si>
    <t>ROD-SF-elytra-76</t>
  </si>
  <si>
    <t>Rodrigues: Grotte Fougere, 60-65 cm, ROD-SF-elytra-77</t>
  </si>
  <si>
    <t>ROD-SF-elytra-77</t>
  </si>
  <si>
    <t>Rodrigues: Grotte Fougere, 60-65 cm, ROD-SF-elytra-78</t>
  </si>
  <si>
    <t>ROD-SF-elytra-78</t>
  </si>
  <si>
    <t>entire elytra, but folded, difficult ID</t>
  </si>
  <si>
    <t>Rodrigues: Grotte Fougere, 60-65 cm, ROD-SF-elytra-79</t>
  </si>
  <si>
    <t>ROD-SF-elytra-79</t>
  </si>
  <si>
    <t>Rodrigues: Grotte Fougere, 60-65 cm, ROD-SF-elytra-80</t>
  </si>
  <si>
    <t>ROD-SF-elytra-80</t>
  </si>
  <si>
    <t>Rodrigues: Grotte Fougere, 65-70 cm, ROD-SF-pron-36</t>
  </si>
  <si>
    <t>ROD-SF-pron-36</t>
  </si>
  <si>
    <t>heavy punctuation</t>
  </si>
  <si>
    <t>Rodrigues: Grotte Fougere, 65-70 cm, ROD-SF-pron-37</t>
  </si>
  <si>
    <t>ROD-SF-pron-37</t>
  </si>
  <si>
    <t>Rodrigues: Grotte Fougere, 65-70 cm, ROD-SF-pron-38</t>
  </si>
  <si>
    <t>ROD-SF-pron-38</t>
  </si>
  <si>
    <t>has leg</t>
  </si>
  <si>
    <t>Rodrigues: Grotte Fougere, 65-70 cm, ROD-SF-pron-39</t>
  </si>
  <si>
    <t>ROD-SF-pron-39</t>
  </si>
  <si>
    <t>fragment, may be pron-m1</t>
  </si>
  <si>
    <t>Rodrigues: Grotte Fougere, 65-70 cm, ROD-SF-head-74</t>
  </si>
  <si>
    <t>ROD-SF-head-74</t>
  </si>
  <si>
    <t>Rodrigues: Grotte Fougere, 65-70 cm, ROD-SF-head-75</t>
  </si>
  <si>
    <t>ROD-SF-head-75</t>
  </si>
  <si>
    <t>Rodrigues: Grotte Fougere, 65-70 cm, ROD-SF-head-76</t>
  </si>
  <si>
    <t>ROD-SF-head-76</t>
  </si>
  <si>
    <t>Rodrigues: Grotte Fougere, 65-70 cm, ROD-SF-head-77</t>
  </si>
  <si>
    <t>ROD-SF-head-77</t>
  </si>
  <si>
    <t>Rodrigues: Grotte Fougere, 65-70 cm, ROD-SF-head-78</t>
  </si>
  <si>
    <t>ROD-SF-head-78</t>
  </si>
  <si>
    <t>Rodrigues: Grotte Fougere, 65-70 cm, ROD-SF-head-79</t>
  </si>
  <si>
    <t>ROD-SF-head-79</t>
  </si>
  <si>
    <t>Rodrigues: Grotte Fougere, 65-70 cm, ROD-SF-head-80</t>
  </si>
  <si>
    <t>ROD-SF-head-80</t>
  </si>
  <si>
    <t>Rodrigues: Grotte Fougere, 65-70 cm, ROD-SF-elytra-81</t>
  </si>
  <si>
    <t>ROD-SF-elytra-81</t>
  </si>
  <si>
    <t>Rodrigues: Grotte Fougere, 65-70 cm, ROD-SF-elytra-82</t>
  </si>
  <si>
    <t>ROD-SF-elytra-82</t>
  </si>
  <si>
    <t>Rodrigues: Grotte Fougere, 65-70 cm, ROD-SF-elytra-83</t>
  </si>
  <si>
    <t>ROD-SF-elytra-83</t>
  </si>
  <si>
    <t>Rodrigues: Grotte Fougere, 65-70 cm, ROD-SF-elytra-84</t>
  </si>
  <si>
    <t>ROD-SF-elytra-84</t>
  </si>
  <si>
    <t>entire elytra, no stripes</t>
  </si>
  <si>
    <t>Rodrigues: Grotte Fougere, 65-70 cm, ROD-SF-elytra-85</t>
  </si>
  <si>
    <t>ROD-SF-elytra-85</t>
  </si>
  <si>
    <t>Rodrigues: Grotte Fougere, 65-70 cm, ROD-SF-elytra-86</t>
  </si>
  <si>
    <t>ROD-SF-elytra-86</t>
  </si>
  <si>
    <t>Rodrigues: Grotte Fougere, 65-70 cm, ROD-SF-elytra-87</t>
  </si>
  <si>
    <t>ROD-SF-elytra-87</t>
  </si>
  <si>
    <t>Rodrigues: Grotte Fougere, 65-70 cm, ROD-SF-elytra-88</t>
  </si>
  <si>
    <t>ROD-SF-elytra-88</t>
  </si>
  <si>
    <t>Rodrigues: Grotte Fougere, 65-70 cm, ROD-SF-elytra-89</t>
  </si>
  <si>
    <t>ROD-SF-elytra-89</t>
  </si>
  <si>
    <t>striped but small fragment. Maybe m3</t>
  </si>
  <si>
    <t>Rodrigues: Grotte Fougere, 65-70 cm, ROD-SF-elytra-90</t>
  </si>
  <si>
    <t>ROD-SF-elytra-90</t>
  </si>
  <si>
    <t>Rodrigues: Grotte Fougere, 65-70 cm, ROD-SF-elytra-91</t>
  </si>
  <si>
    <t>ROD-SF-elytra-91</t>
  </si>
  <si>
    <t>Rodrigues: Grotte Fougere, 65-70 cm, ROD-SF-metast-17</t>
  </si>
  <si>
    <t>ROD-SF-metast-17</t>
  </si>
  <si>
    <t>lobes on posterior margin of mesocoxae not very clear</t>
  </si>
  <si>
    <t>Rodrigues: Grotte Fougere, 65-70 cm, ROD-SF-metast-18</t>
  </si>
  <si>
    <t>ROD-SF-metast-18</t>
  </si>
  <si>
    <t>Rodrigues: Grotte Fougere, 65-70 cm, ROD-SF-metast-19</t>
  </si>
  <si>
    <t>ROD-SF-metast-19</t>
  </si>
  <si>
    <t>Rodrigues: Grotte Fougere, 65-70 cm, ROD-SF-metast-20</t>
  </si>
  <si>
    <t>ROD-SF-metast-20</t>
  </si>
  <si>
    <t>maybe not Scarabaeinae?</t>
  </si>
  <si>
    <t>Rodrigues: Grotte Fougere, 70-75 cm, ROD-SF-elytra-92</t>
  </si>
  <si>
    <t>ROD-SF-elytra-92</t>
  </si>
  <si>
    <t>Rodrigues: Grotte Fougere, 70-75 cm, ROD-SF-elytra-93</t>
  </si>
  <si>
    <t>ROD-SF-elytra-93</t>
  </si>
  <si>
    <t>Rodrigues: Grotte Fougere, 70-75 cm, ROD-SF-elytra-94</t>
  </si>
  <si>
    <t>ROD-SF-elytra-94</t>
  </si>
  <si>
    <t>m9</t>
  </si>
  <si>
    <t>Rodrigues: Grotte Fougere, 70-75 cm, ROD-SF-elytra-95</t>
  </si>
  <si>
    <t>ROD-SF-elytra-95</t>
  </si>
  <si>
    <t>m10</t>
  </si>
  <si>
    <t>Rodrigues: Grotte Fougere, 70-75 cm, ROD-SF-elytra-96</t>
  </si>
  <si>
    <t>ROD-SF-elytra-96</t>
  </si>
  <si>
    <t>Rodrigues: Grotte Fougere, 70-75 cm, ROD-SF-elytra-97</t>
  </si>
  <si>
    <t>ROD-SF-elytra-97</t>
  </si>
  <si>
    <t>Rodrigues: Grotte Fougere, 70-75 cm, ROD-SF-elytra-98</t>
  </si>
  <si>
    <t>ROD-SF-elytra-98</t>
  </si>
  <si>
    <t>Rodrigues: Grotte Fougere, 70-75 cm, ROD-SF-elytra-99</t>
  </si>
  <si>
    <t>ROD-SF-elytra-99</t>
  </si>
  <si>
    <t>Rodrigues: Grotte Fougere, 70-75 cm, ROD-SF-elytra-100</t>
  </si>
  <si>
    <t>ROD-SF-elytra-100</t>
  </si>
  <si>
    <t>Rodrigues: Grotte Fougere, 70-75 cm, ROD-SF-elytra-101</t>
  </si>
  <si>
    <t>ROD-SF-elytra-101</t>
  </si>
  <si>
    <t>Rodrigues: Grotte Fougere, 70-75 cm, ROD-SF-pron-40</t>
  </si>
  <si>
    <t>ROD-SF-pron-40</t>
  </si>
  <si>
    <t>Rodrigues: Grotte Fougere, 70-75 cm, ROD-SF-pron-41</t>
  </si>
  <si>
    <t>ROD-SF-pron-41</t>
  </si>
  <si>
    <t>Rodrigues: Grotte Fougere, 70-75 cm, ROD-SF-pron-42</t>
  </si>
  <si>
    <t>ROD-SF-pron-42</t>
  </si>
  <si>
    <t>Rodrigues: Grotte Fougere, 70-75 cm, ROD-SF-head-81</t>
  </si>
  <si>
    <t>ROD-SF-head-81</t>
  </si>
  <si>
    <t>Rodrigues: Grotte Fougere, 70-75 cm, ROD-SF-head-82</t>
  </si>
  <si>
    <t>ROD-SF-head-82</t>
  </si>
  <si>
    <t>Rodrigues: Grotte Fougere, 70-75 cm, ROD-SF-head-83</t>
  </si>
  <si>
    <t>ROD-SF-head-83</t>
  </si>
  <si>
    <t>Rodrigues: Grotte Fougere, 70-75 cm, ROD-SF-metast-21</t>
  </si>
  <si>
    <t>ROD-SF-metast-21</t>
  </si>
  <si>
    <t>Rodrigues: Grotte Fougere, 70-75 cm, ROD-SF-metast-22</t>
  </si>
  <si>
    <t>ROD-SF-metast-22</t>
  </si>
  <si>
    <t>Rodrigues: Grotte Fougere, 70-75 cm, ROD-SF-metast-23</t>
  </si>
  <si>
    <t>ROD-SF-metast-23</t>
  </si>
  <si>
    <t>Rodrigues: Grotte Fougere, 70-75 cm, ROD-SF-metast-24</t>
  </si>
  <si>
    <t>ROD-SF-metast-24</t>
  </si>
  <si>
    <t>Rodrigues: Grotte Fougere, 70-75 cm, ROD-SF-metast-25</t>
  </si>
  <si>
    <t>ROD-SF-metast-25</t>
  </si>
  <si>
    <t>Rodrigues: Grotte Fougere, 75-80 cm, ROD-SF-elytra-102</t>
  </si>
  <si>
    <t>ROD-SF-elytra-102</t>
  </si>
  <si>
    <t>Rodrigues: Grotte Fougere, 75-80 cm, ROD-SF-elytra-103</t>
  </si>
  <si>
    <t>ROD-SF-elytra-103</t>
  </si>
  <si>
    <t>Rodrigues: Grotte Fougere, 75-80 cm, ROD-SF-elytra-104</t>
  </si>
  <si>
    <t>ROD-SF-elytra-104</t>
  </si>
  <si>
    <t>Rodrigues: Grotte Fougere, 75-80 cm, ROD-SF-elytra-105</t>
  </si>
  <si>
    <t>ROD-SF-elytra-105</t>
  </si>
  <si>
    <t>Rodrigues: Grotte Fougere, 75-80 cm, ROD-SF-elytra-106</t>
  </si>
  <si>
    <t>ROD-SF-elytra-106</t>
  </si>
  <si>
    <t>small fragment, difficult ID; maybe m6</t>
  </si>
  <si>
    <t>Rodrigues: Grotte Fougere, 75-80 cm, ROD-SF-elytra-107</t>
  </si>
  <si>
    <t>ROD-SF-elytra-107</t>
  </si>
  <si>
    <t>entire elytra, striped, long spot on 2nd interstria</t>
  </si>
  <si>
    <t>Rodrigues: Grotte Fougere, 75-80 cm, ROD-SF-elytra-108</t>
  </si>
  <si>
    <t>ROD-SF-elytra-108</t>
  </si>
  <si>
    <t>Rodrigues: Grotte Fougere, 75-80 cm, ROD-SF-pron-43</t>
  </si>
  <si>
    <t>ROD-SF-pron-43</t>
  </si>
  <si>
    <t>small fragment, difficult ID; maybe m2</t>
  </si>
  <si>
    <t>Rodrigues: Grotte Fougere, 75-80 cm, ROD-SF-pron-44</t>
  </si>
  <si>
    <t>ROD-SF-pron-44</t>
  </si>
  <si>
    <t>maybe m2</t>
  </si>
  <si>
    <t>Rodrigues: Grotte Fougere, 75-80 cm, ROD-SF-pron-45</t>
  </si>
  <si>
    <t>ROD-SF-pron-45</t>
  </si>
  <si>
    <t>Rodrigues: Grotte Fougere, 75-80 cm, ROD-SF-pron-46</t>
  </si>
  <si>
    <t>ROD-SF-pron-46</t>
  </si>
  <si>
    <t>Rodrigues: Grotte Fougere, 75-80 cm, ROD-SF-head-84</t>
  </si>
  <si>
    <t>ROD-SF-head-84</t>
  </si>
  <si>
    <t>5.5x + lens</t>
  </si>
  <si>
    <t>Rodrigues: Grotte Fougere, 75-80 cm, ROD-SF-head-85</t>
  </si>
  <si>
    <t>ROD-SF-head-85</t>
  </si>
  <si>
    <t>Rodrigues: Grotte Fougere, 75-80 cm, ROD-SF-head-86</t>
  </si>
  <si>
    <t>ROD-SF-head-86</t>
  </si>
  <si>
    <t>Rodrigues: Grotte Fougere, 75-80 cm, ROD-SF-head-87</t>
  </si>
  <si>
    <t>ROD-SF-head-87</t>
  </si>
  <si>
    <t>Rodrigues: Grotte Fougere, 75-80 cm, ROD-SF-head-88</t>
  </si>
  <si>
    <t>ROD-SF-head-88</t>
  </si>
  <si>
    <t>Rodrigues: Grotte Fougere, 75-80 cm, ROD-SF-head-89</t>
  </si>
  <si>
    <t>ROD-SF-head-89</t>
  </si>
  <si>
    <t>Rodrigues: Grotte Fougere, 75-80 cm, ROD-SF-head-90</t>
  </si>
  <si>
    <t>ROD-SF-head-90</t>
  </si>
  <si>
    <t>Rodrigues: Grotte Fougere, 75-80 cm, ROD-SF-head-91</t>
  </si>
  <si>
    <t>ROD-SF-head-91</t>
  </si>
  <si>
    <t>Rodrigues: Grotte Fougere, 75-80 cm, ROD-SF-head-92</t>
  </si>
  <si>
    <t>ROD-SF-head-92</t>
  </si>
  <si>
    <t>Rodrigues: Grotte Fougere, 75-80 cm, ROD-SF-head-93</t>
  </si>
  <si>
    <t>ROD-SF-head-93</t>
  </si>
  <si>
    <t>Rodrigues: Grotte Fougere, 75-80 cm, ROD-SF-head-94</t>
  </si>
  <si>
    <t>ROD-SF-head-94</t>
  </si>
  <si>
    <t>Rodrigues: Grotte Fougere, 75-80 cm, ROD-SF-head-95</t>
  </si>
  <si>
    <t>ROD-SF-head-95</t>
  </si>
  <si>
    <t>small fragment, difficult ID; maybe m3</t>
  </si>
  <si>
    <t>Rodrigues: Grotte Fougere, 75-80 cm, ROD-SF-head-96</t>
  </si>
  <si>
    <t>ROD-SF-head-96</t>
  </si>
  <si>
    <t>Rodrigues: Grotte Fougere, 75-80 cm, ROD-SF-head-97</t>
  </si>
  <si>
    <t>ROD-SF-head-97</t>
  </si>
  <si>
    <t xml:space="preserve">difficult ID, clypeal teeth broken; maybe m4 </t>
  </si>
  <si>
    <t>Rodrigues: Grotte Fougere, 75-80 cm, ROD-SF-metast-26</t>
  </si>
  <si>
    <t>ROD-SF-metast-26</t>
  </si>
  <si>
    <t>difficult ID, fragment small</t>
  </si>
  <si>
    <t>Rodrigues: Grotte Fougere, 75-80 cm, ROD-SF-metast-27</t>
  </si>
  <si>
    <t>ROD-SF-metast-27</t>
  </si>
  <si>
    <t>Rodrigues: Grotte Fougere, 75-80 cm, ROD-SF-metast-28</t>
  </si>
  <si>
    <t>ROD-SF-metast-28</t>
  </si>
  <si>
    <t>Rodrigues: Grotte Fougere, 75-80 cm, ROD-SF-metast-29</t>
  </si>
  <si>
    <t>ROD-SF-metast-29</t>
  </si>
  <si>
    <t>Rodrigues: Grotte Fougere, 75-80 cm, ROD-SF-metast-30</t>
  </si>
  <si>
    <t>ROD-SF-metast-30</t>
  </si>
  <si>
    <t>Rodrigues: Grotte Fougere, 75-80 cm, ROD-SF-proleg-9</t>
  </si>
  <si>
    <t>ROD-SF-proleg-9</t>
  </si>
  <si>
    <t>Rodrigues: Grotte Fougere, 80-85 cm, ROD-SF-elytra-109</t>
  </si>
  <si>
    <t>ROD-SF-elytra-109</t>
  </si>
  <si>
    <t>Rodrigues: Grotte Fougere, 80-85 cm, ROD-SF-elytra-110</t>
  </si>
  <si>
    <t>ROD-SF-elytra-110</t>
  </si>
  <si>
    <t>m2A</t>
  </si>
  <si>
    <t>mid spot on 4th interstria</t>
  </si>
  <si>
    <t>Rodrigues: Grotte Fougere, 80-85 cm, ROD-SF-elytra-111</t>
  </si>
  <si>
    <t>ROD-SF-elytra-111</t>
  </si>
  <si>
    <t>m2B</t>
  </si>
  <si>
    <t>different from previous one, as 2nd interstria has at least three long yellow spots</t>
  </si>
  <si>
    <t>Rodrigues: Grotte Fougere, 80-85 cm, ROD-SF-elytra-112</t>
  </si>
  <si>
    <t>ROD-SF-elytra-112</t>
  </si>
  <si>
    <t>m2C</t>
  </si>
  <si>
    <t>mid spot on 3th interstria</t>
  </si>
  <si>
    <t>Rodrigues: Grotte Fougere, 80-85 cm, ROD-SF-elytra-113</t>
  </si>
  <si>
    <t>ROD-SF-elytra-113</t>
  </si>
  <si>
    <t>Rodrigues: Grotte Fougere, 80-85 cm, ROD-SF-elytra-114</t>
  </si>
  <si>
    <t>ROD-SF-elytra-114</t>
  </si>
  <si>
    <t>Rodrigues: Grotte Fougere, 80-85 cm, ROD-SF-elytra-115</t>
  </si>
  <si>
    <t>ROD-SF-elytra-115</t>
  </si>
  <si>
    <t>Rodrigues: Grotte Fougere, 80-85 cm, ROD-SF-elytra-116</t>
  </si>
  <si>
    <t>ROD-SF-elytra-116</t>
  </si>
  <si>
    <t>Rodrigues: Grotte Fougere, 80-85 cm, ROD-SF-elytra-117</t>
  </si>
  <si>
    <t>ROD-SF-elytra-117</t>
  </si>
  <si>
    <t>Rodrigues: Grotte Fougere, 80-85 cm, ROD-SF-elytra-118</t>
  </si>
  <si>
    <t>ROD-SF-elytra-118</t>
  </si>
  <si>
    <t>Rodrigues: Grotte Fougere, 80-85 cm, ROD-SF-pron-47</t>
  </si>
  <si>
    <t>ROD-SF-pron-47</t>
  </si>
  <si>
    <t>Rodrigues: Grotte Fougere, 80-85 cm, ROD-SF-pron-48</t>
  </si>
  <si>
    <t>ROD-SF-pron-48</t>
  </si>
  <si>
    <t>Rodrigues: Grotte Fougere, 80-85 cm, ROD-SF-pron-49</t>
  </si>
  <si>
    <t>ROD-SF-pron-49</t>
  </si>
  <si>
    <t>Rodrigues: Grotte Fougere, 80-85 cm, ROD-SF-pron-50</t>
  </si>
  <si>
    <t>ROD-SF-pron-50</t>
  </si>
  <si>
    <t>Rodrigues: Grotte Fougere, 80-85 cm, ROD-SF-head-98</t>
  </si>
  <si>
    <t>ROD-SF-head-98</t>
  </si>
  <si>
    <t>Rodrigues: Grotte Fougere, 80-85 cm, ROD-SF-head-99</t>
  </si>
  <si>
    <t>ROD-SF-head-99</t>
  </si>
  <si>
    <t>Rodrigues: Grotte Fougere, 80-85 cm, ROD-SF-head-100</t>
  </si>
  <si>
    <t>ROD-SF-head-100</t>
  </si>
  <si>
    <t>Rodrigues: Grotte Fougere, 80-85 cm, ROD-SF-head-101</t>
  </si>
  <si>
    <t>ROD-SF-head-101</t>
  </si>
  <si>
    <t>Rodrigues: Grotte Fougere, 80-85 cm, ROD-SF-head-102</t>
  </si>
  <si>
    <t>ROD-SF-head-102</t>
  </si>
  <si>
    <t>Rodrigues: Grotte Fougere, 80-85 cm, ROD-SF-head-103</t>
  </si>
  <si>
    <t>ROD-SF-head-103</t>
  </si>
  <si>
    <t>Rodrigues: Grotte Fougere, 80-85 cm, ROD-SF-head-104</t>
  </si>
  <si>
    <t>ROD-SF-head-104</t>
  </si>
  <si>
    <t>Rodrigues: Grotte Fougere, 80-85 cm, ROD-SF-head-105</t>
  </si>
  <si>
    <t>ROD-SF-head-105</t>
  </si>
  <si>
    <t>Rodrigues: Grotte Fougere, 80-85 cm, ROD-SF-metast-31</t>
  </si>
  <si>
    <t>ROD-SF-metast-31</t>
  </si>
  <si>
    <t>Rodrigues: Grotte Fougere, 80-85 cm, ROD-SF-metast-32</t>
  </si>
  <si>
    <t>ROD-SF-metast-32</t>
  </si>
  <si>
    <t>Rodrigues: Grotte Fougere, 80-85 cm, ROD-SF-metast-33</t>
  </si>
  <si>
    <t>ROD-SF-metast-33</t>
  </si>
  <si>
    <t>Rodrigues: Grotte Fougere, 85-90 cm, ROD-SF-elytra-119</t>
  </si>
  <si>
    <t>ROD-SF-elytra-119</t>
  </si>
  <si>
    <t>entire elytra, no spots; form never seen before (unique sample)</t>
  </si>
  <si>
    <t>Rodrigues: Grotte Fougere, 85-90 cm, ROD-SF-elytra-120</t>
  </si>
  <si>
    <t>ROD-SF-elytra-120</t>
  </si>
  <si>
    <t>m7A</t>
  </si>
  <si>
    <t>long spots on interstriae, no pockets</t>
  </si>
  <si>
    <t>Rodrigues: Grotte Fougere, 85-90 cm, ROD-SF-elytra-121</t>
  </si>
  <si>
    <t>ROD-SF-elytra-121</t>
  </si>
  <si>
    <t>pocket and spot in the middle of 3rd interstria</t>
  </si>
  <si>
    <t>Rodrigues: Grotte Fougere, 85-90 cm, ROD-SF-elytra-122</t>
  </si>
  <si>
    <t>ROD-SF-elytra-122</t>
  </si>
  <si>
    <t>same as previous</t>
  </si>
  <si>
    <t>Rodrigues: Grotte Fougere, 85-90 cm, ROD-SF-elytra-123</t>
  </si>
  <si>
    <t>ROD-SF-elytra-123</t>
  </si>
  <si>
    <t>small fragment, difficult to ID</t>
  </si>
  <si>
    <t>Rodrigues: Grotte Fougere, 85-90 cm, ROD-SF-elytra-124</t>
  </si>
  <si>
    <t>ROD-SF-elytra-124</t>
  </si>
  <si>
    <t>Rodrigues: Grotte Fougere, 85-90 cm, ROD-SF-elytra-125</t>
  </si>
  <si>
    <t>ROD-SF-elytra-125</t>
  </si>
  <si>
    <t>Rodrigues: Grotte Fougere, 85-90 cm, ROD-SF-elytra-126</t>
  </si>
  <si>
    <t>ROD-SF-elytra-126</t>
  </si>
  <si>
    <t>Rodrigues: Grotte Fougere, 85-90 cm, ROD-SF-elytra-127</t>
  </si>
  <si>
    <t>ROD-SF-elytra-127</t>
  </si>
  <si>
    <t>fragmented but with pocket. Difficult ID</t>
  </si>
  <si>
    <t>Rodrigues: Grotte Fougere, 85-90 cm, ROD-SF-elytra-128</t>
  </si>
  <si>
    <t>ROD-SF-elytra-128</t>
  </si>
  <si>
    <t>Rodrigues: Grotte Fougere, 85-90 cm, ROD-SF-elytra-129</t>
  </si>
  <si>
    <t>ROD-SF-elytra-129</t>
  </si>
  <si>
    <t>m1A</t>
  </si>
  <si>
    <t>fragment but easy to ID</t>
  </si>
  <si>
    <t>Rodrigues: Grotte Fougere, 85-90 cm, ROD-SF-pron-51</t>
  </si>
  <si>
    <t>ROD-SF-pron-51</t>
  </si>
  <si>
    <t>Rodrigues: Grotte Fougere, 85-90 cm, ROD-SF-pron-52</t>
  </si>
  <si>
    <t>ROD-SF-pron-52</t>
  </si>
  <si>
    <t>Rodrigues: Grotte Fougere, 85-90 cm, ROD-SF-head-106</t>
  </si>
  <si>
    <t>ROD-SF-head-106</t>
  </si>
  <si>
    <t>Rodrigues: Grotte Fougere, 85-90 cm, ROD-SF-head-107</t>
  </si>
  <si>
    <t>ROD-SF-head-107</t>
  </si>
  <si>
    <t>Rodrigues: Grotte Fougere, 85-90 cm, ROD-SF-head-108</t>
  </si>
  <si>
    <t>ROD-SF-head-108</t>
  </si>
  <si>
    <t>Rodrigues: Grotte Fougere, 85-90 cm, ROD-SF-head-109</t>
  </si>
  <si>
    <t>ROD-SF-head-109</t>
  </si>
  <si>
    <t>Rodrigues: Grotte Fougere, 85-90 cm, ROD-SF-head-110</t>
  </si>
  <si>
    <t>ROD-SF-head-110</t>
  </si>
  <si>
    <t>Rodrigues: Grotte Fougere, 85-90 cm, ROD-SF-head-111</t>
  </si>
  <si>
    <t>ROD-SF-head-111</t>
  </si>
  <si>
    <t>Rodrigues: Grotte Fougere, 85-90 cm, ROD-SF-head-112</t>
  </si>
  <si>
    <t>ROD-SF-head-112</t>
  </si>
  <si>
    <t>Rodrigues: Grotte Fougere, 85-90 cm, ROD-SF-head-113</t>
  </si>
  <si>
    <t>ROD-SF-head-113</t>
  </si>
  <si>
    <t>Rodrigues: Grotte Fougere, 85-90 cm, ROD-SF-head-114</t>
  </si>
  <si>
    <t>ROD-SF-head-114</t>
  </si>
  <si>
    <t>Rodrigues: Grotte Fougere, 85-90 cm, ROD-SF-head-115</t>
  </si>
  <si>
    <t>ROD-SF-head-115</t>
  </si>
  <si>
    <t>Rodrigues: Grotte Fougere, 85-90 cm, ROD-SF-head-116</t>
  </si>
  <si>
    <t>ROD-SF-head-116</t>
  </si>
  <si>
    <t>Rodrigues: Grotte Fougere, 85-90 cm, ROD-SF-head-117</t>
  </si>
  <si>
    <t>ROD-SF-head-117</t>
  </si>
  <si>
    <t>head damaged, clypeal teeth visible, but difficult ID; maybe small m2</t>
  </si>
  <si>
    <t>Rodrigues: Grotte Fougere, 85-90 cm, ROD-SF-head-118</t>
  </si>
  <si>
    <t>ROD-SF-head-118</t>
  </si>
  <si>
    <t>Rodrigues: Grotte Fougere, 85-90 cm, ROD-SF-metast-34</t>
  </si>
  <si>
    <t>ROD-SF-metast-34</t>
  </si>
  <si>
    <t>maybe m2, but not sure</t>
  </si>
  <si>
    <t>Rodrigues: Grotte Fougere, 85-90 cm, ROD-SF-metast-35</t>
  </si>
  <si>
    <t>ROD-SF-metast-35</t>
  </si>
  <si>
    <t>Rodrigues: Grotte Fougere, 85-90 cm, ROD-SF-metast-36</t>
  </si>
  <si>
    <t>ROD-SF-metast-36</t>
  </si>
  <si>
    <t>Rodrigues: Grotte Fougere, 85-90 cm, ROD-SF-metast-37</t>
  </si>
  <si>
    <t>ROD-SF-metast-37</t>
  </si>
  <si>
    <t>Rodrigues: Grotte Fougere, 90-95 cm, ROD-SF-elytra-130</t>
  </si>
  <si>
    <t>ROD-SF-elytra-130</t>
  </si>
  <si>
    <t>with long yellow spots even on 2nd interstria</t>
  </si>
  <si>
    <t>Rodrigues: Grotte Fougere, 90-95 cm, ROD-SF-elytra-131</t>
  </si>
  <si>
    <t>ROD-SF-elytra-131</t>
  </si>
  <si>
    <t>no spot on 2nd interval, with mid spot on 3rd</t>
  </si>
  <si>
    <t>Rodrigues: Grotte Fougere, 90-95 cm, ROD-SF-elytra-132</t>
  </si>
  <si>
    <t>ROD-SF-elytra-132</t>
  </si>
  <si>
    <t>like m2A</t>
  </si>
  <si>
    <t>Rodrigues: Grotte Fougere, 90-95 cm, ROD-SF-elytra-133</t>
  </si>
  <si>
    <t>ROD-SF-elytra-133</t>
  </si>
  <si>
    <t>similar to m2B, but without pocket</t>
  </si>
  <si>
    <t>Rodrigues: Grotte Fougere, 90-95 cm, ROD-SF-elytra-134</t>
  </si>
  <si>
    <t>ROD-SF-elytra-134</t>
  </si>
  <si>
    <t>Rodrigues: Grotte Fougere, 90-95 cm, ROD-SF-pron-53</t>
  </si>
  <si>
    <t>ROD-SF-pron-53</t>
  </si>
  <si>
    <t>Rodrigues: Grotte Fougere, 90-95 cm, ROD-SF-pron-54</t>
  </si>
  <si>
    <t>ROD-SF-pron-54</t>
  </si>
  <si>
    <t>Rodrigues: Grotte Fougere, 90-95 cm, ROD-SF-pron-55</t>
  </si>
  <si>
    <t>ROD-SF-pron-55</t>
  </si>
  <si>
    <t>Rodrigues: Grotte Fougere, 90-95 cm, ROD-SF-head-119</t>
  </si>
  <si>
    <t>ROD-SF-head-119</t>
  </si>
  <si>
    <t>it might be m2</t>
  </si>
  <si>
    <t>Rodrigues: Grotte Fougere, 90-95 cm, ROD-SF-head-120</t>
  </si>
  <si>
    <t>ROD-SF-head-120</t>
  </si>
  <si>
    <t>Rodrigues: Grotte Fougere, 90-95 cm, ROD-SF-head-121</t>
  </si>
  <si>
    <t>ROD-SF-head-121</t>
  </si>
  <si>
    <t>Rodrigues: Grotte Fougere, 90-95 cm, ROD-SF-head-122</t>
  </si>
  <si>
    <t>ROD-SF-head-122</t>
  </si>
  <si>
    <t>Rodrigues: Grotte Fougere, 90-95 cm, ROD-SF-head-123</t>
  </si>
  <si>
    <t>ROD-SF-head-123</t>
  </si>
  <si>
    <t>Rodrigues: Grotte Fougere, 90-95 cm, ROD-SF-head-124</t>
  </si>
  <si>
    <t>ROD-SF-head-124</t>
  </si>
  <si>
    <t>Rodrigues: Grotte Fougere, 90-95 cm, ROD-SF-head-125</t>
  </si>
  <si>
    <t>ROD-SF-head-125</t>
  </si>
  <si>
    <t>Rodrigues: Grotte Fougere, 90-95 cm, ROD-SF-head-126</t>
  </si>
  <si>
    <t>ROD-SF-head-126</t>
  </si>
  <si>
    <t>Rodrigues: Grotte Fougere, 90-95 cm, ROD-SF-metast-38</t>
  </si>
  <si>
    <t>ROD-SF-metast-38</t>
  </si>
  <si>
    <t>Rodrigues: Grotte Fougere, 90-95 cm, ROD-SF-metast-39</t>
  </si>
  <si>
    <t>ROD-SF-metast-39</t>
  </si>
  <si>
    <t>Rodrigues: Grotte Fougere, 90-95 cm, ROD-SF-metast-40</t>
  </si>
  <si>
    <t>ROD-SF-metast-40</t>
  </si>
  <si>
    <t>punctation on lateral region stronger and denser</t>
  </si>
  <si>
    <t>Rodrigues: Grotte Fougere, 90-95 cm, ROD-SF-proleg-10</t>
  </si>
  <si>
    <t>ROD-SF-proleg-10</t>
  </si>
  <si>
    <t>only profemur, difficult ID</t>
  </si>
  <si>
    <t>Rodrigues: Grotte Fougere, 95-100 cm, ROD-SF-elytra-135</t>
  </si>
  <si>
    <t>ROD-SF-elytra-135</t>
  </si>
  <si>
    <t>m10A</t>
  </si>
  <si>
    <t>long yellow spots on 2nd intervals, no pocket</t>
  </si>
  <si>
    <t>Rodrigues: Grotte Fougere, 95-100 cm, ROD-SF-elytra-136</t>
  </si>
  <si>
    <t>ROD-SF-elytra-136</t>
  </si>
  <si>
    <t>small yellow spot on 3rd interstria</t>
  </si>
  <si>
    <t>Rodrigues: Grotte Fougere, 95-100 cm, ROD-SF-elytra-137</t>
  </si>
  <si>
    <t>ROD-SF-elytra-137</t>
  </si>
  <si>
    <t>Rodrigues: Grotte Fougere, 95-100 cm, ROD-SF-elytra-138</t>
  </si>
  <si>
    <t>ROD-SF-elytra-138</t>
  </si>
  <si>
    <t>small fragment, difficult ID; sample never seen before (with 10 or &gt;10 striae)</t>
  </si>
  <si>
    <t>Rodrigues: Grotte Fougere, 95-100 cm, ROD-SF-elytra-139</t>
  </si>
  <si>
    <t>ROD-SF-elytra-139</t>
  </si>
  <si>
    <t>10B</t>
  </si>
  <si>
    <t>Rodrigues: Grotte Fougere, 95-100 cm, ROD-SF-elytra-140</t>
  </si>
  <si>
    <t>ROD-SF-elytra-140</t>
  </si>
  <si>
    <t>Rodrigues: Grotte Fougere, 95-100 cm, ROD-SF-elytra-141</t>
  </si>
  <si>
    <t>ROD-SF-elytra-141</t>
  </si>
  <si>
    <t>Rodrigues: Grotte Fougere, 95-100 cm, ROD-SF-elytra-142</t>
  </si>
  <si>
    <t>ROD-SF-elytra-142</t>
  </si>
  <si>
    <t>Rodrigues: Grotte Fougere, 95-100 cm, ROD-SF-elytra-143</t>
  </si>
  <si>
    <t>ROD-SF-elytra-143</t>
  </si>
  <si>
    <t>Rodrigues: Grotte Fougere, 95-100 cm, ROD-SF-pron-56</t>
  </si>
  <si>
    <t>ROD-SF-pron-56</t>
  </si>
  <si>
    <t>Rodrigues: Grotte Fougere, 95-100 cm, ROD-SF-pron-57</t>
  </si>
  <si>
    <t>ROD-SF-pron-57</t>
  </si>
  <si>
    <t>Rodrigues: Grotte Fougere, 95-100 cm, ROD-SF-head-127</t>
  </si>
  <si>
    <t>ROD-SF-head-127</t>
  </si>
  <si>
    <t>Rodrigues: Grotte Fougere, 95-100 cm, ROD-SF-head-128</t>
  </si>
  <si>
    <t>ROD-SF-head-128</t>
  </si>
  <si>
    <t>Rodrigues: Grotte Fougere, 95-100 cm, ROD-SF-head-129</t>
  </si>
  <si>
    <t>ROD-SF-head-129</t>
  </si>
  <si>
    <t>Rodrigues: Grotte Fougere, 95-100 cm, ROD-SF-head-130</t>
  </si>
  <si>
    <t>ROD-SF-head-130</t>
  </si>
  <si>
    <t>Rodrigues: Grotte Fougere, 95-100 cm, ROD-SF-head-131</t>
  </si>
  <si>
    <t>ROD-SF-head-131</t>
  </si>
  <si>
    <t>Rodrigues: Grotte Fougere, 95-100 cm, ROD-SF-head-132</t>
  </si>
  <si>
    <t>ROD-SF-head-132</t>
  </si>
  <si>
    <t>Rodrigues: Grotte Fougere, 95-100 cm, ROD-SF-head-133</t>
  </si>
  <si>
    <t>ROD-SF-head-133</t>
  </si>
  <si>
    <t>Rodrigues: Grotte Fougere, 95-100 cm, ROD-SF-head-134</t>
  </si>
  <si>
    <t>Rodrigues: Grotte Fougere, 95-100 cm, ROD-SF-metast-41</t>
  </si>
  <si>
    <t>ROD-SF-metast-41</t>
  </si>
  <si>
    <t>not dung beetle ?</t>
  </si>
  <si>
    <t>Rodrigues: Grotte Fougere, 95-100 cm, ROD-SF-metast-42</t>
  </si>
  <si>
    <t>ROD-SF-metast-42</t>
  </si>
  <si>
    <t>Rodrigues: Grotte Fougere, 95-100 cm, ROD-SF-metast-43</t>
  </si>
  <si>
    <t>ROD-SF-metast-43</t>
  </si>
  <si>
    <t>punctation on lateral region stronger and denser (same in 90-95 samples)</t>
  </si>
  <si>
    <t>Rodrigues: Grotte Fougere, 95-100 cm, ROD-SF-metast-44</t>
  </si>
  <si>
    <t>ROD-SF-metast-44</t>
  </si>
  <si>
    <t>Rodrigues: Grotte Fougere, 95-100 cm, ROD-SF-proleg-11</t>
  </si>
  <si>
    <t>ROD-SF-proleg-11</t>
  </si>
  <si>
    <t xml:space="preserve">coxa + femur, maybe m1 </t>
  </si>
  <si>
    <t>Rodrigues: Grotte Fougere, 95-100 cm, ROD-SF-proleg-12</t>
  </si>
  <si>
    <t>ROD-SF-proleg-12</t>
  </si>
  <si>
    <t>femur+tibia</t>
  </si>
  <si>
    <t>Rodrigues: Grotte Fougere, 95-100 cm, ROD-SF-proleg-13</t>
  </si>
  <si>
    <t>ROD-SF-proleg-13</t>
  </si>
  <si>
    <t>procoxa</t>
  </si>
  <si>
    <t>Rodrigues: Grotte Fougere, 95-100 cm, ROD-SF-proleg-14</t>
  </si>
  <si>
    <t>ROD-SF-proleg-14</t>
  </si>
  <si>
    <t>Rodrigues: Grotte Fougere, 95-100 cm, ROD-SF-proleg-15</t>
  </si>
  <si>
    <t>ROD-SF-proleg-15</t>
  </si>
  <si>
    <t>m2D</t>
  </si>
  <si>
    <t>TW namespace</t>
  </si>
  <si>
    <t>sp_identifier</t>
  </si>
  <si>
    <t>TW identifier</t>
  </si>
  <si>
    <t>CLASSIFICATION TO BE APPLIED TO LAYER SAMPLES AS WELL!!!</t>
  </si>
  <si>
    <t>Rodrigues: Grotte Fougere, 30-60 cm, ROD-SF-elytra-147</t>
  </si>
  <si>
    <t>ROD-SF-</t>
  </si>
  <si>
    <t>-m3</t>
  </si>
  <si>
    <t>Morphotype</t>
  </si>
  <si>
    <t>Elytra types</t>
  </si>
  <si>
    <t>Rodrigues: Grotte Fougere, 30-60 cm, ROD-SF-elytra-148</t>
  </si>
  <si>
    <t>Rodrigues: Grotte Fougere, 30-60 cm, ROD-SF-elytra-149</t>
  </si>
  <si>
    <t>elytra-m1</t>
  </si>
  <si>
    <t>Epactoides giganteus type</t>
  </si>
  <si>
    <t>Rodrigues: Grotte Fougere, 30-60 cm, ROD-SF-elytra-150</t>
  </si>
  <si>
    <t>elytra-m2A</t>
  </si>
  <si>
    <r>
      <t xml:space="preserve">all intervals with long yellow spots, no granules, </t>
    </r>
    <r>
      <rPr>
        <b/>
        <sz val="12"/>
        <color rgb="FF000000"/>
        <rFont val="Calibri Light"/>
        <family val="2"/>
      </rPr>
      <t>with pocket</t>
    </r>
  </si>
  <si>
    <t>Rodrigues: Grotte Fougere, 30-60 cm, ROD-SF-elytra-151</t>
  </si>
  <si>
    <t>elytra-m2B</t>
  </si>
  <si>
    <r>
      <t xml:space="preserve">not all intervals spotted, </t>
    </r>
    <r>
      <rPr>
        <b/>
        <sz val="12"/>
        <color theme="1"/>
        <rFont val="Calibri"/>
        <family val="2"/>
        <scheme val="minor"/>
      </rPr>
      <t xml:space="preserve">3rd interval </t>
    </r>
    <r>
      <rPr>
        <sz val="12"/>
        <color theme="1"/>
        <rFont val="Calibri"/>
        <family val="2"/>
        <scheme val="minor"/>
      </rPr>
      <t xml:space="preserve">with an additional small spots in the middle; no granules; </t>
    </r>
    <r>
      <rPr>
        <b/>
        <sz val="12"/>
        <color theme="1"/>
        <rFont val="Calibri"/>
        <family val="2"/>
        <scheme val="minor"/>
      </rPr>
      <t xml:space="preserve">with pocket </t>
    </r>
  </si>
  <si>
    <t>Rodrigues: Grotte Fougere, 30-60 cm, ROD-SF-elytra-152</t>
  </si>
  <si>
    <t>elytra-m2C</t>
  </si>
  <si>
    <r>
      <t xml:space="preserve">not all intervals spotted, small yellow spot in the middle of </t>
    </r>
    <r>
      <rPr>
        <b/>
        <sz val="12"/>
        <color theme="1"/>
        <rFont val="Calibri"/>
        <family val="2"/>
        <scheme val="minor"/>
      </rPr>
      <t>4th interval</t>
    </r>
    <r>
      <rPr>
        <sz val="12"/>
        <color theme="1"/>
        <rFont val="Calibri"/>
        <family val="2"/>
        <scheme val="minor"/>
      </rPr>
      <t xml:space="preserve">; no granules; </t>
    </r>
    <r>
      <rPr>
        <b/>
        <sz val="12"/>
        <color theme="1"/>
        <rFont val="Calibri"/>
        <family val="2"/>
        <scheme val="minor"/>
      </rPr>
      <t xml:space="preserve">with pocket </t>
    </r>
  </si>
  <si>
    <t>Rodrigues: Grotte Fougere, 30-60 cm, ROD-SF-elytra-153</t>
  </si>
  <si>
    <t>elytra-m2D</t>
  </si>
  <si>
    <r>
      <t xml:space="preserve">not all intervals spotted, small yellow spot in the middle of </t>
    </r>
    <r>
      <rPr>
        <b/>
        <sz val="12"/>
        <color theme="1"/>
        <rFont val="Calibri"/>
        <family val="2"/>
        <scheme val="minor"/>
      </rPr>
      <t>3rd interval</t>
    </r>
    <r>
      <rPr>
        <sz val="12"/>
        <color theme="1"/>
        <rFont val="Calibri"/>
        <family val="2"/>
        <scheme val="minor"/>
      </rPr>
      <t xml:space="preserve">; no granules; </t>
    </r>
    <r>
      <rPr>
        <b/>
        <sz val="12"/>
        <color theme="1"/>
        <rFont val="Calibri"/>
        <family val="2"/>
        <scheme val="minor"/>
      </rPr>
      <t>without pocket</t>
    </r>
    <r>
      <rPr>
        <sz val="12"/>
        <color theme="1"/>
        <rFont val="Calibri"/>
        <family val="2"/>
        <scheme val="minor"/>
      </rPr>
      <t xml:space="preserve"> </t>
    </r>
  </si>
  <si>
    <t>Rodrigues: Grotte Fougere, 30-60 cm, ROD-SF-elytra-154</t>
  </si>
  <si>
    <t>elytra-m2E</t>
  </si>
  <si>
    <r>
      <t xml:space="preserve">not all intervals spotted, small yellow spot in the middle of </t>
    </r>
    <r>
      <rPr>
        <b/>
        <sz val="12"/>
        <color theme="1"/>
        <rFont val="Calibri"/>
        <family val="2"/>
        <scheme val="minor"/>
      </rPr>
      <t>4th interval</t>
    </r>
    <r>
      <rPr>
        <sz val="12"/>
        <color theme="1"/>
        <rFont val="Calibri"/>
        <family val="2"/>
        <scheme val="minor"/>
      </rPr>
      <t xml:space="preserve">; no granules; </t>
    </r>
    <r>
      <rPr>
        <b/>
        <sz val="12"/>
        <color theme="1"/>
        <rFont val="Calibri"/>
        <family val="2"/>
        <scheme val="minor"/>
      </rPr>
      <t xml:space="preserve">without pocket </t>
    </r>
  </si>
  <si>
    <t>Rodrigues: Grotte Fougere, 30-60 cm, ROD-SF-elytra-155</t>
  </si>
  <si>
    <t>elytra-m2F</t>
  </si>
  <si>
    <r>
      <t xml:space="preserve">all intervals with long yellow spots, no granules, </t>
    </r>
    <r>
      <rPr>
        <b/>
        <sz val="12"/>
        <color rgb="FF000000"/>
        <rFont val="Calibri Light"/>
        <family val="2"/>
      </rPr>
      <t>without pocket</t>
    </r>
  </si>
  <si>
    <t>Rodrigues: Grotte Fougere, 30-60 cm, ROD-SF-elytra-156</t>
  </si>
  <si>
    <t>elytra-m3</t>
  </si>
  <si>
    <t>striped without pocket, with granules</t>
  </si>
  <si>
    <t>Rodrigues: Grotte Fougere, 30-60 cm, ROD-SF-elytra-157</t>
  </si>
  <si>
    <t>elytra-m4</t>
  </si>
  <si>
    <t>striped without pocket, no granules, spot on 3rd interstria</t>
  </si>
  <si>
    <t>Rodrigues: Grotte Fougere, 30-60 cm, ROD-SF-elytra-158</t>
  </si>
  <si>
    <t>elytra-m5</t>
  </si>
  <si>
    <t>striped without pocket, no granules, spot on 4th interstria</t>
  </si>
  <si>
    <t>Rodrigues: Grotte Fougere, 30-60 cm, ROD-SF-elytra-159</t>
  </si>
  <si>
    <t>elytra-m6</t>
  </si>
  <si>
    <t>no striped, with pocket</t>
  </si>
  <si>
    <t>Rodrigues: Grotte Fougere, 30-60 cm, ROD-SF-elytra-160</t>
  </si>
  <si>
    <t>elytra-m7</t>
  </si>
  <si>
    <t>striped without pocket, no granules, spot on 2nd interstria</t>
  </si>
  <si>
    <t>Rodrigues: Grotte Fougere, 30-60 cm, ROD-SF-elytra-161</t>
  </si>
  <si>
    <t>elytra-m8</t>
  </si>
  <si>
    <t>no striped, no poket, but different number of striae than epac gigant</t>
  </si>
  <si>
    <t>Rodrigues: Grotte Fougere, 30-60 cm, ROD-SF-elytra-162</t>
  </si>
  <si>
    <t>elytra-m9</t>
  </si>
  <si>
    <t>striped, spot on 2nd interstria, with pocket</t>
  </si>
  <si>
    <t>Rodrigues: Grotte Fougere, 30-60 cm, ROD-SF-elytra-163</t>
  </si>
  <si>
    <t>elytra-m10</t>
  </si>
  <si>
    <t>striped, no pocket</t>
  </si>
  <si>
    <t>Rodrigues: Grotte Fougere, 30-60 cm, ROD-SF-elytra-164</t>
  </si>
  <si>
    <t>elytra-m11</t>
  </si>
  <si>
    <t>without stripes; with humeral, yellow spot</t>
  </si>
  <si>
    <t>Rodrigues: Grotte Fougere, 30-60 cm, ROD-SF-elytra-165</t>
  </si>
  <si>
    <t>Rodrigues: Grotte Fougere, 30-60 cm, ROD-SF-elytra-166</t>
  </si>
  <si>
    <t>Rodrigues: Grotte Fougere, 30-60 cm, ROD-SF-elytra-167</t>
  </si>
  <si>
    <t xml:space="preserve">Pronotal type </t>
  </si>
  <si>
    <t>Rodrigues: Grotte Fougere, 30-60 cm, ROD-SF-elytra-168</t>
  </si>
  <si>
    <t>pron-m1</t>
  </si>
  <si>
    <t>pronotum with triangular, black spot</t>
  </si>
  <si>
    <t>Rodrigues: Grotte Fougere, 30-60 cm, ROD-SF-elytra-169</t>
  </si>
  <si>
    <t>pron-m2</t>
  </si>
  <si>
    <t>pronotum with lateral edge serrated</t>
  </si>
  <si>
    <t>Rodrigues: Grotte Fougere, 30-60 cm, ROD-SF-elytra-170</t>
  </si>
  <si>
    <t>pron-m3</t>
  </si>
  <si>
    <t>pronotum with dense punctation</t>
  </si>
  <si>
    <t>Rodrigues: Grotte Fougere, 30-60 cm, ROD-SF-elytra-171</t>
  </si>
  <si>
    <t>pron-m4</t>
  </si>
  <si>
    <t>pronotum Epactoides giganteus type</t>
  </si>
  <si>
    <t>Rodrigues: Grotte Fougere, 30-60 cm, ROD-SF-elytra-172</t>
  </si>
  <si>
    <t>pron-m5</t>
  </si>
  <si>
    <t>pronotum Epactoides type, large procoxal cavities</t>
  </si>
  <si>
    <t>Rodrigues: Grotte Fougere, 30-60 cm, ROD-SF-elytra-173</t>
  </si>
  <si>
    <t>pron-m6</t>
  </si>
  <si>
    <t xml:space="preserve">lateral edge slightly serrated, pronotal puncation strong  </t>
  </si>
  <si>
    <t>Rodrigues: Grotte Fougere, 30-60 cm, ROD-SF-elytra-174</t>
  </si>
  <si>
    <t>Rodrigues: Grotte Fougere, 30-60 cm, ROD-SF-elytra-175</t>
  </si>
  <si>
    <t>Head types</t>
  </si>
  <si>
    <t>Rodrigues: Grotte Fougere, 30-60 cm, ROD-SF-elytra-176</t>
  </si>
  <si>
    <t>head-m1</t>
  </si>
  <si>
    <t>2 long, distant clypeal processes</t>
  </si>
  <si>
    <t>Rodrigues: Grotte Fougere, 30-60 cm, ROD-SF-elytra-177</t>
  </si>
  <si>
    <t>head-m2</t>
  </si>
  <si>
    <t>2 close clypeal processes</t>
  </si>
  <si>
    <t>Rodrigues: Grotte Fougere, 30-60 cm, ROD-SF-elytra-178</t>
  </si>
  <si>
    <t>head-m3</t>
  </si>
  <si>
    <t>2 clypeal teeth, clypeal edge rounded</t>
  </si>
  <si>
    <t>Rodrigues: Grotte Fougere, 30-60 cm, ROD-SF-elytra-179</t>
  </si>
  <si>
    <t>head-m4</t>
  </si>
  <si>
    <t>2 clypeal teeth, clypeal edge slightly emarginated close to teeth</t>
  </si>
  <si>
    <t>Rodrigues: Grotte Fougere, 30-60 cm, ROD-SF-elytra-180</t>
  </si>
  <si>
    <t>head-m5</t>
  </si>
  <si>
    <t>4 clypeal teeth, Epactoides giganteus type</t>
  </si>
  <si>
    <t>Rodrigues: Grotte Fougere, 30-60 cm, ROD-SF-elytra-181</t>
  </si>
  <si>
    <t>head-m6</t>
  </si>
  <si>
    <t>4 clypeal teeth</t>
  </si>
  <si>
    <t>Rodrigues: Grotte Fougere, 30-60 cm, ROD-SF-elytra-182</t>
  </si>
  <si>
    <t>Rodrigues: Grotte Fougere, 30-60 cm, ROD-SF-elytra-183</t>
  </si>
  <si>
    <t>Metasternum type</t>
  </si>
  <si>
    <t>Rodrigues: Grotte Fougere, 30-60 cm, ROD-SF-elytra-184</t>
  </si>
  <si>
    <t>metast-m1</t>
  </si>
  <si>
    <t xml:space="preserve">with distinct lobes on posterior margin of midcoxal cavities; discal punctures dense </t>
  </si>
  <si>
    <t>Rodrigues: Grotte Fougere, 30-60 cm, ROD-SF-elytra-185</t>
  </si>
  <si>
    <t>metast-m2</t>
  </si>
  <si>
    <t>no lobe on midcoxal cavities; discal punctures scattered</t>
  </si>
  <si>
    <t>Rodrigues: Grotte Fougere, 30-60 cm, ROD-SF-elytra-186</t>
  </si>
  <si>
    <t>metast-m3</t>
  </si>
  <si>
    <t>metasternum giganteus type</t>
  </si>
  <si>
    <t>Rodrigues: Grotte Fougere, 30-60 cm, ROD-SF-elytra-187</t>
  </si>
  <si>
    <t>metast-m4</t>
  </si>
  <si>
    <t>metasternal disc very narrow, sides with transversal and deep wrinkles</t>
  </si>
  <si>
    <t>Rodrigues: Grotte Fougere, 30-60 cm, ROD-SF-elytra-188</t>
  </si>
  <si>
    <t>Rodrigues: Grotte Fougere, 30-60 cm, ROD-SF-elytra-189</t>
  </si>
  <si>
    <t>Leg type</t>
  </si>
  <si>
    <t>Rodrigues: Grotte Fougere, 30-60 cm, ROD-SF-elytra-190</t>
  </si>
  <si>
    <t>proleg-m1</t>
  </si>
  <si>
    <t>foreleg associated to serrated pronotum</t>
  </si>
  <si>
    <t>Rodrigues: Grotte Fougere, 30-60 cm, ROD-SF-elytra-191</t>
  </si>
  <si>
    <t>proleg-m2</t>
  </si>
  <si>
    <t>foreleg associated to pronotum with triangular spot</t>
  </si>
  <si>
    <t>Rodrigues: Grotte Fougere, 30-60 cm, ROD-SF-elytra-192</t>
  </si>
  <si>
    <t>Rodrigues: Grotte Fougere, 30-60 cm, ROD-SF-elytra-193</t>
  </si>
  <si>
    <t>Rodrigues: Grotte Fougere, 30-60 cm, ROD-SF-elytra-194</t>
  </si>
  <si>
    <t>Rodrigues: Grotte Fougere, 30-60 cm, ROD-SF-elytra-195</t>
  </si>
  <si>
    <t>Rodrigues: Grotte Fougere, 30-60 cm, ROD-SF-elytra-196</t>
  </si>
  <si>
    <t>-NA</t>
  </si>
  <si>
    <t>Rodrigues: Grotte Fougere, 30-60 cm, ROD-SF-elytra-197</t>
  </si>
  <si>
    <t>Rodrigues: Grotte Fougere, 30-60 cm, ROD-SF-elytra-198</t>
  </si>
  <si>
    <t>Rodrigues: Grotte Fougere, 30-60 cm, ROD-SF-elytra-199</t>
  </si>
  <si>
    <t>Rodrigues: Grotte Fougere, 30-60 cm, ROD-SF-elytra-200</t>
  </si>
  <si>
    <t>Rodrigues: Grotte Fougere, 30-60 cm, ROD-SF-elytra-201</t>
  </si>
  <si>
    <t>Rodrigues: Grotte Fougere, 30-60 cm, ROD-SF-elytra-202</t>
  </si>
  <si>
    <t>Rodrigues: Grotte Fougere, 30-60 cm, ROD-SF-elytra-203</t>
  </si>
  <si>
    <t>Rodrigues: Grotte Fougere, 30-60 cm, ROD-SF-elytra-204</t>
  </si>
  <si>
    <t>m11</t>
  </si>
  <si>
    <t>Rodrigues: Grotte Fougere, 30-60 cm, ROD-SF-elytra-205</t>
  </si>
  <si>
    <t>Rodrigues: Grotte Fougere, 30-60 cm, ROD-SF-elytra-206</t>
  </si>
  <si>
    <t>Rodrigues: Grotte Fougere, 30-60 cm, ROD-SF-elytra-207</t>
  </si>
  <si>
    <t>Rodrigues: Grotte Fougere, 30-60 cm, ROD-SF-elytra-208</t>
  </si>
  <si>
    <t>Rodrigues: Grotte Fougere, 30-60 cm, ROD-SF-elytra-209</t>
  </si>
  <si>
    <t>Rodrigues: Grotte Fougere, 30-60 cm, ROD-SF-elytra-210</t>
  </si>
  <si>
    <t>Rodrigues: Grotte Fougere, 30-60 cm, ROD-SF-elytra-211</t>
  </si>
  <si>
    <t>Rodrigues: Grotte Fougere, 30-60 cm, ROD-SF-elytra-212</t>
  </si>
  <si>
    <t>Rodrigues: Grotte Fougere, 30-60 cm, ROD-SF-elytra-213</t>
  </si>
  <si>
    <t>Rodrigues: Grotte Fougere, 30-60 cm, ROD-SF-elytra-214</t>
  </si>
  <si>
    <t>Rodrigues: Grotte Fougere, 30-60 cm, ROD-SF-elytra-215</t>
  </si>
  <si>
    <t>Rodrigues: Grotte Fougere, 30-60 cm, ROD-SF-elytra-216</t>
  </si>
  <si>
    <t>Rodrigues: Grotte Fougere, 30-60 cm, ROD-SF-elytra-217</t>
  </si>
  <si>
    <t>Rodrigues: Grotte Fougere, 30-60 cm, ROD-SF-elytra-218</t>
  </si>
  <si>
    <t>Rodrigues: Grotte Fougere, 30-60 cm, ROD-SF-elytra-219</t>
  </si>
  <si>
    <t>Rodrigues: Grotte Fougere, 30-60 cm, ROD-SF-elytra-220</t>
  </si>
  <si>
    <t>Rodrigues: Grotte Fougere, 30-60 cm, ROD-SF-elytra-221</t>
  </si>
  <si>
    <t>Rodrigues: Grotte Fougere, 30-60 cm, ROD-SF-elytra-222</t>
  </si>
  <si>
    <t>Rodrigues: Grotte Fougere, 30-60 cm, ROD-SF-elytra-223</t>
  </si>
  <si>
    <t>Rodrigues: Grotte Fougere, 30-60 cm, ROD-SF-elytra-224</t>
  </si>
  <si>
    <t>Rodrigues: Grotte Fougere, 30-60 cm, ROD-SF-elytra-225</t>
  </si>
  <si>
    <t>Rodrigues: Grotte Fougere, 30-60 cm, ROD-SF-elytra-226</t>
  </si>
  <si>
    <t>Rodrigues: Grotte Fougere, 30-60 cm, ROD-SF-elytra-227</t>
  </si>
  <si>
    <t>-m4</t>
  </si>
  <si>
    <t>Rodrigues: Grotte Fougere, 30-60 cm, ROD-SF-elytra-228</t>
  </si>
  <si>
    <t>Rodrigues: Grotte Fougere, 30-60 cm, ROD-SF-elytra-229</t>
  </si>
  <si>
    <t>m2F</t>
  </si>
  <si>
    <t>Rodrigues: Grotte Fougere, 30-60 cm, ROD-SF-elytra-230</t>
  </si>
  <si>
    <t>Rodrigues: Grotte Fougere, 30-60 cm, ROD-SF-elytra-231</t>
  </si>
  <si>
    <t>Rodrigues: Grotte Fougere, 30-60 cm, ROD-SF-elytra-232</t>
  </si>
  <si>
    <t>Rodrigues: Grotte Fougere, 30-60 cm, ROD-SF-elytra-233</t>
  </si>
  <si>
    <t>m2E</t>
  </si>
  <si>
    <t>Rodrigues: Grotte Fougere, 30-60 cm, ROD-SF-elytra-234</t>
  </si>
  <si>
    <t>Rodrigues: Grotte Fougere, 30-60 cm, ROD-SF-elytra-235</t>
  </si>
  <si>
    <t>Rodrigues: Grotte Fougere, 30-60 cm, ROD-SF-elytra-236</t>
  </si>
  <si>
    <t>Rodrigues: Grotte Fougere, 30-60 cm, ROD-SF-elytra-237</t>
  </si>
  <si>
    <t>Rodrigues: Grotte Fougere, 30-60 cm, ROD-SF-elytra-238</t>
  </si>
  <si>
    <t>Rodrigues: Grotte Fougere, 30-60 cm, ROD-SF-elytra-239</t>
  </si>
  <si>
    <t>Rodrigues: Grotte Fougere, 30-60 cm, ROD-SF-elytra-240</t>
  </si>
  <si>
    <t>Rodrigues: Grotte Fougere, 30-60 cm, ROD-SF-elytra-241</t>
  </si>
  <si>
    <t>Rodrigues: Grotte Fougere, 30-60 cm, ROD-SF-elytra-242</t>
  </si>
  <si>
    <t>Rodrigues: Grotte Fougere, 30-60 cm, ROD-SF-elytra-243</t>
  </si>
  <si>
    <t>Rodrigues: Grotte Fougere, 30-60 cm, ROD-SF-elytra-244</t>
  </si>
  <si>
    <t>Rodrigues: Grotte Fougere, 30-60 cm, ROD-SF-elytra-245</t>
  </si>
  <si>
    <t>Rodrigues: Grotte Fougere, 30-60 cm, ROD-SF-elytra-246</t>
  </si>
  <si>
    <t>Rodrigues: Grotte Fougere, 30-60 cm, ROD-SF-elytra-247</t>
  </si>
  <si>
    <t>Rodrigues: Grotte Fougere, 30-60 cm, ROD-SF-elytra-248</t>
  </si>
  <si>
    <t>Rodrigues: Grotte Fougere, 30-60 cm, ROD-SF-elytra-249</t>
  </si>
  <si>
    <t>Rodrigues: Grotte Fougere, 30-60 cm, ROD-SF-elytra-250</t>
  </si>
  <si>
    <t>Rodrigues: Grotte Fougere, 30-60 cm, ROD-SF-elytra-251</t>
  </si>
  <si>
    <t>Rodrigues: Grotte Fougere, 30-60 cm, ROD-SF-elytra-252</t>
  </si>
  <si>
    <t>Rodrigues: Grotte Fougere, 30-60 cm, ROD-SF-elytra-253</t>
  </si>
  <si>
    <t>Rodrigues: Grotte Fougere, 30-60 cm, ROD-SF-elytra-254</t>
  </si>
  <si>
    <t>Rodrigues: Grotte Fougere, 30-60 cm, ROD-SF-elytra-255</t>
  </si>
  <si>
    <t>Rodrigues: Grotte Fougere, 30-60 cm, ROD-SF-elytra-256</t>
  </si>
  <si>
    <t>Rodrigues: Grotte Fougere, 30-60 cm, ROD-SF-elytra-257</t>
  </si>
  <si>
    <t>Rodrigues: Grotte Fougere, 30-60 cm, ROD-SF-elytra-258</t>
  </si>
  <si>
    <t>Rodrigues: Grotte Fougere, 30-60 cm, ROD-SF-elytra-259</t>
  </si>
  <si>
    <t>Rodrigues: Grotte Fougere, 30-60 cm, ROD-SF-elytra-260</t>
  </si>
  <si>
    <t>Rodrigues: Grotte Fougere, 30-60 cm, ROD-SF-elytra-261</t>
  </si>
  <si>
    <t>Rodrigues: Grotte Fougere, 30-60 cm, ROD-SF-elytra-262</t>
  </si>
  <si>
    <t>Rodrigues: Grotte Fougere, 30-60 cm, ROD-SF-elytra-263</t>
  </si>
  <si>
    <t>Rodrigues: Grotte Fougere, 30-60 cm, ROD-SF-elytra-264</t>
  </si>
  <si>
    <t>Rodrigues: Grotte Fougere, 30-60 cm, ROD-SF-elytra-265</t>
  </si>
  <si>
    <t>Rodrigues: Grotte Fougere, 30-60 cm, ROD-SF-elytra-266</t>
  </si>
  <si>
    <t>Rodrigues: Grotte Fougere, 30-60 cm, ROD-SF-elytra-267</t>
  </si>
  <si>
    <t>Rodrigues: Grotte Fougere, 30-60 cm, ROD-SF-elytra-268</t>
  </si>
  <si>
    <t>Rodrigues: Grotte Fougere, 30-60 cm, ROD-SF-elytra-269</t>
  </si>
  <si>
    <t>Rodrigues: Grotte Fougere, 30-60 cm, ROD-SF-elytra-270</t>
  </si>
  <si>
    <t>Rodrigues: Grotte Fougere, 30-60 cm, ROD-SF-elytra-271</t>
  </si>
  <si>
    <t>Rodrigues: Grotte Fougere, 30-60 cm, ROD-SF-elytra-272</t>
  </si>
  <si>
    <t>Rodrigues: Grotte Fougere, 30-60 cm, ROD-SF-elytra-273</t>
  </si>
  <si>
    <t>Rodrigues: Grotte Fougere, 30-60 cm, ROD-SF-elytra-274</t>
  </si>
  <si>
    <t>Rodrigues: Grotte Fougere, 30-60 cm, ROD-SF-elytra-275</t>
  </si>
  <si>
    <t>Rodrigues: Grotte Fougere, 30-60 cm, ROD-SF-elytra-276</t>
  </si>
  <si>
    <t>Rodrigues: Grotte Fougere, 30-60 cm, ROD-SF-elytra-277</t>
  </si>
  <si>
    <t>Rodrigues: Grotte Fougere, 30-60 cm, ROD-SF-elytra-278</t>
  </si>
  <si>
    <t>Rodrigues: Grotte Fougere, 30-60 cm, ROD-SF-elytra-279</t>
  </si>
  <si>
    <t>Rodrigues: Grotte Fougere, 30-60 cm, ROD-SF-elytra-280</t>
  </si>
  <si>
    <t>Rodrigues: Grotte Fougere, 30-60 cm, ROD-SF-elytra-281</t>
  </si>
  <si>
    <t>Rodrigues: Grotte Fougere, 30-60 cm, ROD-SF-elytra-282</t>
  </si>
  <si>
    <t>Rodrigues: Grotte Fougere, 30-60 cm, ROD-SF-elytra-283</t>
  </si>
  <si>
    <t>Rodrigues: Grotte Fougere, 30-60 cm, ROD-SF-elytra-284</t>
  </si>
  <si>
    <t>Rodrigues: Grotte Fougere, 30-60 cm, ROD-SF-elytra-285</t>
  </si>
  <si>
    <t>Rodrigues: Grotte Fougere, 30-60 cm, ROD-SF-elytra-286</t>
  </si>
  <si>
    <t>Rodrigues: Grotte Fougere, 30-60 cm, ROD-SF-elytra-287</t>
  </si>
  <si>
    <t>Rodrigues: Grotte Fougere, 30-60 cm, ROD-SF-elytra-288</t>
  </si>
  <si>
    <t>Rodrigues: Grotte Fougere, 30-60 cm, ROD-SF-elytra-289</t>
  </si>
  <si>
    <t>Rodrigues: Grotte Fougere, 30-60 cm, ROD-SF-elytra-290</t>
  </si>
  <si>
    <t>Rodrigues: Grotte Fougere, 30-60 cm, ROD-SF-elytra-291</t>
  </si>
  <si>
    <t>Rodrigues: Grotte Fougere, 30-60 cm, ROD-SF-elytra-292</t>
  </si>
  <si>
    <t>Rodrigues: Grotte Fougere, 30-60 cm, ROD-SF-elytra-293</t>
  </si>
  <si>
    <t>Rodrigues: Grotte Fougere, 30-60 cm, ROD-SF-elytra-294</t>
  </si>
  <si>
    <t>Rodrigues: Grotte Fougere, 30-60 cm, ROD-SF-elytra-295</t>
  </si>
  <si>
    <t>Rodrigues: Grotte Fougere, 30-60 cm, ROD-SF-elytra-296</t>
  </si>
  <si>
    <t>Rodrigues: Grotte Fougere, 30-60 cm, ROD-SF-elytra-297</t>
  </si>
  <si>
    <t>Rodrigues: Grotte Fougere, 30-60 cm, ROD-SF-elytra-298</t>
  </si>
  <si>
    <t>Rodrigues: Grotte Fougere, 30-60 cm, ROD-SF-elytra-299</t>
  </si>
  <si>
    <t>Rodrigues: Grotte Fougere, 30-60 cm, ROD-SF-elytra-300</t>
  </si>
  <si>
    <t>Rodrigues: Grotte Fougere, 30-60 cm, ROD-SF-elytra-301</t>
  </si>
  <si>
    <t>Rodrigues: Grotte Fougere, 30-60 cm, ROD-SF-elytra-302</t>
  </si>
  <si>
    <t>Rodrigues: Grotte Fougere, 30-60 cm, ROD-SF-elytra-303</t>
  </si>
  <si>
    <t>Rodrigues: Grotte Fougere, 30-60 cm, ROD-SF-elytra-304</t>
  </si>
  <si>
    <t>Rodrigues: Grotte Fougere, 30-60 cm, ROD-SF-elytra-305</t>
  </si>
  <si>
    <t>Rodrigues: Grotte Fougere, 30-60 cm, ROD-SF-elytra-306</t>
  </si>
  <si>
    <t>Rodrigues: Grotte Fougere, 30-60 cm, ROD-SF-elytra-307</t>
  </si>
  <si>
    <t>Rodrigues: Grotte Fougere, 30-60 cm, ROD-SF-elytra-308</t>
  </si>
  <si>
    <t>Rodrigues: Grotte Fougere, 30-60 cm, ROD-SF-elytra-309</t>
  </si>
  <si>
    <t>Rodrigues: Grotte Fougere, 30-60 cm, ROD-SF-elytra-310</t>
  </si>
  <si>
    <t>Rodrigues: Grotte Fougere, 30-60 cm, ROD-SF-elytra-311</t>
  </si>
  <si>
    <t>Rodrigues: Grotte Fougere, 30-60 cm, ROD-SF-elytra-312</t>
  </si>
  <si>
    <t>Rodrigues: Grotte Fougere, 30-60 cm, ROD-SF-elytra-313</t>
  </si>
  <si>
    <t>Rodrigues: Grotte Fougere, 30-60 cm, ROD-SF-elytra-314</t>
  </si>
  <si>
    <t>Rodrigues: Grotte Fougere, 30-60 cm, ROD-SF-elytra-315</t>
  </si>
  <si>
    <t>Rodrigues: Grotte Fougere, 30-60 cm, ROD-SF-elytra-316</t>
  </si>
  <si>
    <t>Rodrigues: Grotte Fougere, 30-60 cm, ROD-SF-elytra-317</t>
  </si>
  <si>
    <t>Rodrigues: Grotte Fougere, 30-60 cm, ROD-SF-elytra-318</t>
  </si>
  <si>
    <t>Rodrigues: Grotte Fougere, 30-60 cm, ROD-SF-elytra-319</t>
  </si>
  <si>
    <t>Rodrigues: Grotte Fougere, 30-60 cm, ROD-SF-elytra-320</t>
  </si>
  <si>
    <t>Rodrigues: Grotte Fougere, 30-60 cm, ROD-SF-elytra-321</t>
  </si>
  <si>
    <t>Rodrigues: Grotte Fougere, 30-60 cm, ROD-SF-elytra-322</t>
  </si>
  <si>
    <t>Rodrigues: Grotte Fougere, 30-60 cm, ROD-SF-elytra-323</t>
  </si>
  <si>
    <t>Rodrigues: Grotte Fougere, 30-60 cm, ROD-SF-elytra-324</t>
  </si>
  <si>
    <t>Rodrigues: Grotte Fougere, 30-60 cm, ROD-SF-elytra-325</t>
  </si>
  <si>
    <t>Rodrigues: Grotte Fougere, 30-60 cm, ROD-SF-elytra-326</t>
  </si>
  <si>
    <t>Rodrigues: Grotte Fougere, 30-60 cm, ROD-SF-elytra-327</t>
  </si>
  <si>
    <t>Rodrigues: Grotte Fougere, 30-60 cm, ROD-SF-elytra-328</t>
  </si>
  <si>
    <t>Rodrigues: Grotte Fougere, 30-60 cm, ROD-SF-elytra-329</t>
  </si>
  <si>
    <t>Rodrigues: Grotte Fougere, 30-60 cm, ROD-SF-elytra-330</t>
  </si>
  <si>
    <t>Rodrigues: Grotte Fougere, 30-60 cm, ROD-SF-elytra-331</t>
  </si>
  <si>
    <t>Rodrigues: Grotte Fougere, 30-60 cm, ROD-SF-elytra-332</t>
  </si>
  <si>
    <t>Rodrigues: Grotte Fougere, 30-60 cm, ROD-SF-elytra-333</t>
  </si>
  <si>
    <t>Rodrigues: Grotte Fougere, 30-60 cm, ROD-SF-elytra-334</t>
  </si>
  <si>
    <t>Rodrigues: Grotte Fougere, 30-60 cm, ROD-SF-elytra-335</t>
  </si>
  <si>
    <t>Rodrigues: Grotte Fougere, 30-60 cm, ROD-SF-elytra-336</t>
  </si>
  <si>
    <t>Rodrigues: Grotte Fougere, 30-60 cm, ROD-SF-elytra-337</t>
  </si>
  <si>
    <t>Rodrigues: Grotte Fougere, 30-60 cm, ROD-SF-elytra-338</t>
  </si>
  <si>
    <t>Rodrigues: Grotte Fougere, 30-60 cm, ROD-SF-elytra-339</t>
  </si>
  <si>
    <t>Rodrigues: Grotte Fougere, 30-60 cm, ROD-SF-elytra-340</t>
  </si>
  <si>
    <t>Rodrigues: Grotte Fougere, 30-60 cm, ROD-SF-elytra-341</t>
  </si>
  <si>
    <t>Rodrigues: Grotte Fougere, 30-60 cm, ROD-SF-elytra-342</t>
  </si>
  <si>
    <t>Rodrigues: Grotte Fougere, 30-60 cm, ROD-SF-elytra-343</t>
  </si>
  <si>
    <t>Rodrigues: Grotte Fougere, 30-60 cm, ROD-SF-elytra-344</t>
  </si>
  <si>
    <t>Rodrigues: Grotte Fougere, 30-60 cm, ROD-SF-elytra-345</t>
  </si>
  <si>
    <t>Rodrigues: Grotte Fougere, 30-60 cm, ROD-SF-elytra-346</t>
  </si>
  <si>
    <t>Rodrigues: Grotte Fougere, 30-60 cm, ROD-SF-elytra-347</t>
  </si>
  <si>
    <t>Rodrigues: Grotte Fougere, 30-60 cm, ROD-SF-elytra-348</t>
  </si>
  <si>
    <t>Rodrigues: Grotte Fougere, 30-60 cm, ROD-SF-elytra-349</t>
  </si>
  <si>
    <t>Rodrigues: Grotte Fougere, 30-60 cm, ROD-SF-elytra-350</t>
  </si>
  <si>
    <t>Rodrigues: Grotte Fougere, 30-60 cm, ROD-SF-elytra-351</t>
  </si>
  <si>
    <t>Rodrigues: Grotte Fougere, 30-60 cm, ROD-SF-elytra-352</t>
  </si>
  <si>
    <t>Rodrigues: Grotte Fougere, 30-60 cm, ROD-SF-elytra-353</t>
  </si>
  <si>
    <t>Rodrigues: Grotte Fougere, 30-60 cm, ROD-SF-elytra-354</t>
  </si>
  <si>
    <t>Rodrigues: Grotte Fougere, 30-60 cm, ROD-SF-elytra-355</t>
  </si>
  <si>
    <t>Rodrigues: Grotte Fougere, 30-60 cm, ROD-SF-elytra-356</t>
  </si>
  <si>
    <t>Rodrigues: Grotte Fougere, 30-60 cm, ROD-SF-elytra-357</t>
  </si>
  <si>
    <t>Rodrigues: Grotte Fougere, 30-60 cm, ROD-SF-elytra-358</t>
  </si>
  <si>
    <t>Rodrigues: Grotte Fougere, 30-60 cm, ROD-SF-elytra-359</t>
  </si>
  <si>
    <t>Rodrigues: Grotte Fougere, 30-60 cm, ROD-SF-elytra-360</t>
  </si>
  <si>
    <t>Rodrigues: Grotte Fougere, 30-60 cm, ROD-SF-elytra-361</t>
  </si>
  <si>
    <t>Rodrigues: Grotte Fougere, 30-60 cm, ROD-SF-elytra-362</t>
  </si>
  <si>
    <t>Rodrigues: Grotte Fougere, 30-60 cm, ROD-SF-elytra-363</t>
  </si>
  <si>
    <t>Rodrigues: Grotte Fougere, 30-60 cm, ROD-SF-elytra-364</t>
  </si>
  <si>
    <t>Rodrigues: Grotte Fougere, 30-60 cm, ROD-SF-elytra-365</t>
  </si>
  <si>
    <t>Rodrigues: Grotte Fougere, 30-60 cm, ROD-SF-elytra-366</t>
  </si>
  <si>
    <t>Rodrigues: Grotte Fougere, 30-60 cm, ROD-SF-elytra-367</t>
  </si>
  <si>
    <t>Rodrigues: Grotte Fougere, 30-60 cm, ROD-SF-elytra-368</t>
  </si>
  <si>
    <t>Rodrigues: Grotte Fougere, 30-60 cm, ROD-SF-elytra-369</t>
  </si>
  <si>
    <t>Rodrigues: Grotte Fougere, 30-60 cm, ROD-SF-elytra-370</t>
  </si>
  <si>
    <t>Rodrigues: Grotte Fougere, 30-60 cm, ROD-SF-elytra-371</t>
  </si>
  <si>
    <t>Rodrigues: Grotte Fougere, 30-60 cm, ROD-SF-elytra-372</t>
  </si>
  <si>
    <t>Rodrigues: Grotte Fougere, 30-60 cm, ROD-SF-elytra-373</t>
  </si>
  <si>
    <t>Rodrigues: Grotte Fougere, 30-60 cm, ROD-SF-elytra-374</t>
  </si>
  <si>
    <t>Rodrigues: Grotte Fougere, 30-60 cm, ROD-SF-elytra-375</t>
  </si>
  <si>
    <t>Rodrigues: Grotte Fougere, 30-60 cm, ROD-SF-elytra-376</t>
  </si>
  <si>
    <t>Rodrigues: Grotte Fougere, 30-60 cm, ROD-SF-elytra-377</t>
  </si>
  <si>
    <t>Rodrigues: Grotte Fougere, 30-60 cm, ROD-SF-elytra-378</t>
  </si>
  <si>
    <t>Rodrigues: Grotte Fougere, 30-60 cm, ROD-SF-elytra-379</t>
  </si>
  <si>
    <t>Rodrigues: Grotte Fougere, 30-60 cm, ROD-SF-elytra-380</t>
  </si>
  <si>
    <t>Rodrigues: Grotte Fougere, 30-60 cm, ROD-SF-elytra-381</t>
  </si>
  <si>
    <t>Rodrigues: Grotte Fougere, 30-60 cm, ROD-SF-elytra-382</t>
  </si>
  <si>
    <t>Rodrigues: Grotte Fougere, 30-60 cm, ROD-SF-elytra-383</t>
  </si>
  <si>
    <t>Rodrigues: Grotte Fougere, 30-60 cm, ROD-SF-elytra-384</t>
  </si>
  <si>
    <t>Rodrigues: Grotte Fougere, 30-60 cm, ROD-SF-elytra-385</t>
  </si>
  <si>
    <t>Rodrigues: Grotte Fougere, 30-60 cm, ROD-SF-elytra-386</t>
  </si>
  <si>
    <t>Rodrigues: Grotte Fougere, 30-60 cm, ROD-SF-elytra-387</t>
  </si>
  <si>
    <t>Rodrigues: Grotte Fougere, 30-60 cm, ROD-SF-elytra-388</t>
  </si>
  <si>
    <t>Rodrigues: Grotte Fougere, 30-60 cm, ROD-SF-elytra-389</t>
  </si>
  <si>
    <t>Rodrigues: Grotte Fougere, 30-60 cm, ROD-SF-elytra-390</t>
  </si>
  <si>
    <t>Rodrigues: Grotte Fougere, 30-60 cm, ROD-SF-elytra-391</t>
  </si>
  <si>
    <t>Rodrigues: Grotte Fougere, 30-60 cm, ROD-SF-elytra-392</t>
  </si>
  <si>
    <t>Rodrigues: Grotte Fougere, 30-60 cm, ROD-SF-elytra-393</t>
  </si>
  <si>
    <t>Rodrigues: Grotte Fougere, 30-60 cm, ROD-SF-elytra-394</t>
  </si>
  <si>
    <t>Rodrigues: Grotte Fougere, 30-60 cm, ROD-SF-elytra-395</t>
  </si>
  <si>
    <t>Rodrigues: Grotte Fougere, 30-60 cm, ROD-SF-elytra-396</t>
  </si>
  <si>
    <t>Rodrigues: Grotte Fougere, 30-60 cm, ROD-SF-elytra-397</t>
  </si>
  <si>
    <t>Rodrigues: Grotte Fougere, 30-60 cm, ROD-SF-elytra-398</t>
  </si>
  <si>
    <t>Rodrigues: Grotte Fougere, 30-60 cm, ROD-SF-elytra-399</t>
  </si>
  <si>
    <t>Rodrigues: Grotte Fougere, 30-60 cm, ROD-SF-elytra-400</t>
  </si>
  <si>
    <t>Rodrigues: Grotte Fougere, 30-60 cm, ROD-SF-elytra-401</t>
  </si>
  <si>
    <t>Rodrigues: Grotte Fougere, 30-60 cm, ROD-SF-elytra-402</t>
  </si>
  <si>
    <t>Rodrigues: Grotte Fougere, 30-60 cm, ROD-SF-elytra-403</t>
  </si>
  <si>
    <t>Rodrigues: Grotte Fougere, 30-60 cm, ROD-SF-elytra-404</t>
  </si>
  <si>
    <t>Rodrigues: Grotte Fougere, 30-60 cm, ROD-SF-elytra-405</t>
  </si>
  <si>
    <t>Rodrigues: Grotte Fougere, 30-60 cm, ROD-SF-elytra-406</t>
  </si>
  <si>
    <t>Rodrigues: Grotte Fougere, 30-60 cm, ROD-SF-elytra-407</t>
  </si>
  <si>
    <t>Rodrigues: Grotte Fougere, 30-60 cm, ROD-SF-elytra-408</t>
  </si>
  <si>
    <t>Rodrigues: Grotte Fougere, 30-60 cm, ROD-SF-elytra-409</t>
  </si>
  <si>
    <t>Rodrigues: Grotte Fougere, 30-60 cm, ROD-SF-elytra-410</t>
  </si>
  <si>
    <t>Rodrigues: Grotte Fougere, 30-60 cm, ROD-SF-elytra-411</t>
  </si>
  <si>
    <t>Rodrigues: Grotte Fougere, 30-60 cm, ROD-SF-elytra-412</t>
  </si>
  <si>
    <t>Rodrigues: Grotte Fougere, 30-60 cm, ROD-SF-elytra-413</t>
  </si>
  <si>
    <t>Rodrigues: Grotte Fougere, 30-60 cm, ROD-SF-elytra-414</t>
  </si>
  <si>
    <t>Rodrigues: Grotte Fougere, 30-60 cm, ROD-SF-elytra-415</t>
  </si>
  <si>
    <t>Rodrigues: Grotte Fougere, 30-60 cm, ROD-SF-elytra-416</t>
  </si>
  <si>
    <t>Rodrigues: Grotte Fougere, 30-60 cm, ROD-SF-elytra-417</t>
  </si>
  <si>
    <t>Rodrigues: Grotte Fougere, 30-60 cm, ROD-SF-elytra-418</t>
  </si>
  <si>
    <t>Rodrigues: Grotte Fougere, 30-60 cm, ROD-SF-elytra-419</t>
  </si>
  <si>
    <t>Rodrigues: Grotte Fougere, 30-60 cm, ROD-SF-elytra-420</t>
  </si>
  <si>
    <t>Rodrigues: Grotte Fougere, 30-60 cm, ROD-SF-elytra-421</t>
  </si>
  <si>
    <t>Rodrigues: Grotte Fougere, 30-60 cm, ROD-SF-elytra-422</t>
  </si>
  <si>
    <t>Rodrigues: Grotte Fougere, 30-60 cm, ROD-SF-elytra-423</t>
  </si>
  <si>
    <t>Rodrigues: Grotte Fougere, 30-60 cm, ROD-SF-elytra-424</t>
  </si>
  <si>
    <t>Rodrigues: Grotte Fougere, 30-60 cm, ROD-SF-elytra-425</t>
  </si>
  <si>
    <t>Rodrigues: Grotte Fougere, 30-60 cm, ROD-SF-elytra-426</t>
  </si>
  <si>
    <t>Rodrigues: Grotte Fougere, 30-60 cm, ROD-SF-elytra-427</t>
  </si>
  <si>
    <t>Rodrigues: Grotte Fougere, 30-60 cm, ROD-SF-elytra-428</t>
  </si>
  <si>
    <t>Rodrigues: Grotte Fougere, 30-60 cm, ROD-SF-elytra-429</t>
  </si>
  <si>
    <t>Rodrigues: Grotte Fougere, 30-60 cm, ROD-SF-elytra-430</t>
  </si>
  <si>
    <t>Rodrigues: Grotte Fougere, 30-60 cm, ROD-SF-elytra-431</t>
  </si>
  <si>
    <t>Rodrigues: Grotte Fougere, 30-60 cm, ROD-SF-elytra-432</t>
  </si>
  <si>
    <t>Rodrigues: Grotte Fougere, 30-60 cm, ROD-SF-elytra-433</t>
  </si>
  <si>
    <t>Rodrigues: Grotte Fougere, 30-60 cm, ROD-SF-elytra-434</t>
  </si>
  <si>
    <t>Rodrigues: Grotte Fougere, 30-60 cm, ROD-SF-elytra-435</t>
  </si>
  <si>
    <t>Rodrigues: Grotte Fougere, 30-60 cm, ROD-SF-elytra-436</t>
  </si>
  <si>
    <t>Rodrigues: Grotte Fougere, 30-60 cm, ROD-SF-elytra-437</t>
  </si>
  <si>
    <t>Rodrigues: Grotte Fougere, 30-60 cm, ROD-SF-elytra-438</t>
  </si>
  <si>
    <t>Rodrigues: Grotte Fougere, 30-60 cm, ROD-SF-elytra-439</t>
  </si>
  <si>
    <t>Rodrigues: Grotte Fougere, 30-60 cm, ROD-SF-elytra-440</t>
  </si>
  <si>
    <t>Rodrigues: Grotte Fougere, 30-60 cm, ROD-SF-elytra-441</t>
  </si>
  <si>
    <t>Rodrigues: Grotte Fougere, 30-60 cm, ROD-SF-elytra-442</t>
  </si>
  <si>
    <t>Rodrigues: Grotte Fougere, 30-60 cm, ROD-SF-elytra-443</t>
  </si>
  <si>
    <t>Rodrigues: Grotte Fougere, 30-60 cm, ROD-SF-elytra-444</t>
  </si>
  <si>
    <t>Rodrigues: Grotte Fougere, 30-60 cm, ROD-SF-elytra-445</t>
  </si>
  <si>
    <t>Rodrigues: Grotte Fougere, 30-60 cm, ROD-SF-elytra-446</t>
  </si>
  <si>
    <t>Rodrigues: Grotte Fougere, 30-60 cm, ROD-SF-elytra-447</t>
  </si>
  <si>
    <t>Rodrigues: Grotte Fougere, 30-60 cm, ROD-SF-elytra-448</t>
  </si>
  <si>
    <t>Rodrigues: Grotte Fougere, 30-60 cm, ROD-SF-elytra-449</t>
  </si>
  <si>
    <t>Rodrigues: Grotte Fougere, 30-60 cm, ROD-SF-elytra-450</t>
  </si>
  <si>
    <t>Rodrigues: Grotte Fougere, 30-60 cm, ROD-SF-elytra-451</t>
  </si>
  <si>
    <t>Rodrigues: Grotte Fougere, 30-60 cm, ROD-SF-elytra-452</t>
  </si>
  <si>
    <t>Rodrigues: Grotte Fougere, 30-60 cm, ROD-SF-elytra-453</t>
  </si>
  <si>
    <t>Rodrigues: Grotte Fougere, 30-60 cm, ROD-SF-elytra-454</t>
  </si>
  <si>
    <t>Rodrigues: Grotte Fougere, 30-60 cm, ROD-SF-elytra-455</t>
  </si>
  <si>
    <t>Rodrigues: Grotte Fougere, 30-60 cm, ROD-SF-elytra-456</t>
  </si>
  <si>
    <t>Rodrigues: Grotte Fougere, 30-60 cm, ROD-SF-elytra-457</t>
  </si>
  <si>
    <t>Rodrigues: Grotte Fougere, 30-60 cm, ROD-SF-elytra-458</t>
  </si>
  <si>
    <t>Rodrigues: Grotte Fougere, 30-60 cm, ROD-SF-elytra-459</t>
  </si>
  <si>
    <t>Rodrigues: Grotte Fougere, 30-60 cm, ROD-SF-elytra-460</t>
  </si>
  <si>
    <t>Rodrigues: Grotte Fougere, 30-60 cm, ROD-SF-elytra-461</t>
  </si>
  <si>
    <t>Rodrigues: Grotte Fougere, 30-60 cm, ROD-SF-elytra-462</t>
  </si>
  <si>
    <t>Rodrigues: Grotte Fougere, 30-60 cm, ROD-SF-elytra-463</t>
  </si>
  <si>
    <t>Rodrigues: Grotte Fougere, 30-60 cm, ROD-SF-elytra-464</t>
  </si>
  <si>
    <t>Rodrigues: Grotte Fougere, 30-60 cm, ROD-SF-elytra-465</t>
  </si>
  <si>
    <t>Rodrigues: Grotte Fougere, 30-60 cm, ROD-SF-elytra-466</t>
  </si>
  <si>
    <t>Rodrigues: Grotte Fougere, 30-60 cm, ROD-SF-elytra-467</t>
  </si>
  <si>
    <t>Rodrigues: Grotte Fougere, 30-60 cm, ROD-SF-elytra-468</t>
  </si>
  <si>
    <t>Rodrigues: Grotte Fougere, 30-60 cm, ROD-SF-elytra-469</t>
  </si>
  <si>
    <t>Rodrigues: Grotte Fougere, 30-60 cm, ROD-SF-elytra-470</t>
  </si>
  <si>
    <t>Rodrigues: Grotte Fougere, 30-60 cm, ROD-SF-elytra-471</t>
  </si>
  <si>
    <t>Rodrigues: Grotte Fougere, 30-60 cm, ROD-SF-elytra-472</t>
  </si>
  <si>
    <t>Rodrigues: Grotte Fougere, 30-60 cm, ROD-SF-elytra-473</t>
  </si>
  <si>
    <t>Rodrigues: Grotte Fougere, 30-60 cm, ROD-SF-elytra-474</t>
  </si>
  <si>
    <t>Rodrigues: Grotte Fougere, 30-60 cm, ROD-SF-elytra-475</t>
  </si>
  <si>
    <t>Rodrigues: Grotte Fougere, 30-60 cm, ROD-SF-elytra-476</t>
  </si>
  <si>
    <t>Rodrigues: Grotte Fougere, 30-60 cm, ROD-SF-elytra-477</t>
  </si>
  <si>
    <t>Rodrigues: Grotte Fougere, 30-60 cm, ROD-SF-elytra-478</t>
  </si>
  <si>
    <t>Rodrigues: Grotte Fougere, 30-60 cm, ROD-SF-elytra-479</t>
  </si>
  <si>
    <t>Rodrigues: Grotte Fougere, 30-60 cm, ROD-SF-elytra-480</t>
  </si>
  <si>
    <t>Rodrigues: Grotte Fougere, 30-60 cm, ROD-SF-elytra-481</t>
  </si>
  <si>
    <t>Rodrigues: Grotte Fougere, 30-60 cm, ROD-SF-elytra-482</t>
  </si>
  <si>
    <t>Rodrigues: Grotte Fougere, 30-60 cm, ROD-SF-elytra-483</t>
  </si>
  <si>
    <t>Rodrigues: Grotte Fougere, 30-60 cm, ROD-SF-elytra-484</t>
  </si>
  <si>
    <t>Rodrigues: Grotte Fougere, 30-60 cm, ROD-SF-elytra-485</t>
  </si>
  <si>
    <t>Rodrigues: Grotte Fougere, 30-60 cm, ROD-SF-elytra-486</t>
  </si>
  <si>
    <t>Rodrigues: Grotte Fougere, 30-60 cm, ROD-SF-elytra-487</t>
  </si>
  <si>
    <t>Rodrigues: Grotte Fougere, 30-60 cm, ROD-SF-elytra-488</t>
  </si>
  <si>
    <t>Rodrigues: Grotte Fougere, 30-60 cm, ROD-SF-elytra-489</t>
  </si>
  <si>
    <t>Rodrigues: Grotte Fougere, 30-60 cm, ROD-SF-elytra-490</t>
  </si>
  <si>
    <t>Rodrigues: Grotte Fougere, 30-60 cm, ROD-SF-elytra-491</t>
  </si>
  <si>
    <t>Rodrigues: Grotte Fougere, 30-60 cm, ROD-SF-elytra-492</t>
  </si>
  <si>
    <t>Rodrigues: Grotte Fougere, 30-60 cm, ROD-SF-elytra-493</t>
  </si>
  <si>
    <t>Rodrigues: Grotte Fougere, 30-60 cm, ROD-SF-elytra-494</t>
  </si>
  <si>
    <t>Rodrigues: Grotte Fougere, 30-60 cm, ROD-SF-elytra-495</t>
  </si>
  <si>
    <t>Rodrigues: Grotte Fougere, 30-60 cm, ROD-SF-elytra-496</t>
  </si>
  <si>
    <t>Rodrigues: Grotte Fougere, 30-60 cm, ROD-SF-elytra-497</t>
  </si>
  <si>
    <t>Rodrigues: Grotte Fougere, 30-60 cm, ROD-SF-elytra-498</t>
  </si>
  <si>
    <t>Rodrigues: Grotte Fougere, 30-60 cm, ROD-SF-elytra-499</t>
  </si>
  <si>
    <t>Rodrigues: Grotte Fougere, 30-60 cm, ROD-SF-elytra-500</t>
  </si>
  <si>
    <t>Rodrigues: Grotte Fougere, 30-60 cm, ROD-SF-elytra-501</t>
  </si>
  <si>
    <t>Rodrigues: Grotte Fougere, 30-60 cm, ROD-SF-elytra-502</t>
  </si>
  <si>
    <t>Rodrigues: Grotte Fougere, 30-60 cm, ROD-SF-elytra-503</t>
  </si>
  <si>
    <t>Rodrigues: Grotte Fougere, 30-60 cm, ROD-SF-elytra-504</t>
  </si>
  <si>
    <t>Rodrigues: Grotte Fougere, 30-60 cm, ROD-SF-elytra-505</t>
  </si>
  <si>
    <t>Rodrigues: Grotte Fougere, 30-60 cm, ROD-SF-elytra-506</t>
  </si>
  <si>
    <t>Rodrigues: Grotte Fougere, 30-60 cm, ROD-SF-elytra-507</t>
  </si>
  <si>
    <t>Rodrigues: Grotte Fougere, 30-60 cm, ROD-SF-elytra-508</t>
  </si>
  <si>
    <t>Rodrigues: Grotte Fougere, 30-60 cm, ROD-SF-elytra-509</t>
  </si>
  <si>
    <t>Rodrigues: Grotte Fougere, 30-60 cm, ROD-SF-elytra-510</t>
  </si>
  <si>
    <t>Rodrigues: Grotte Fougere, 30-60 cm, ROD-SF-elytra-511</t>
  </si>
  <si>
    <t>Rodrigues: Grotte Fougere, 30-60 cm, ROD-SF-elytra-512</t>
  </si>
  <si>
    <t>Rodrigues: Grotte Fougere, 30-60 cm, ROD-SF-elytra-513</t>
  </si>
  <si>
    <t>Rodrigues: Grotte Fougere, 30-60 cm, ROD-SF-elytra-514</t>
  </si>
  <si>
    <t>Rodrigues: Grotte Fougere, 30-60 cm, ROD-SF-elytra-515</t>
  </si>
  <si>
    <t>Rodrigues: Grotte Fougere, 30-60 cm, ROD-SF-elytra-516</t>
  </si>
  <si>
    <t>Rodrigues: Grotte Fougere, 30-60 cm, ROD-SF-elytra-517</t>
  </si>
  <si>
    <t>Rodrigues: Grotte Fougere, 30-60 cm, ROD-SF-elytra-518</t>
  </si>
  <si>
    <t>Rodrigues: Grotte Fougere, 30-60 cm, ROD-SF-elytra-519</t>
  </si>
  <si>
    <t>Rodrigues: Grotte Fougere, 30-60 cm, ROD-SF-elytra-520</t>
  </si>
  <si>
    <t>Rodrigues: Grotte Fougere, 30-60 cm, ROD-SF-elytra-521</t>
  </si>
  <si>
    <t>Rodrigues: Grotte Fougere, 30-60 cm, ROD-SF-elytra-522</t>
  </si>
  <si>
    <t>Rodrigues: Grotte Fougere, 30-60 cm, ROD-SF-elytra-523</t>
  </si>
  <si>
    <t>Rodrigues: Grotte Fougere, 30-60 cm, ROD-SF-elytra-524</t>
  </si>
  <si>
    <t>Rodrigues: Grotte Fougere, 30-60 cm, ROD-SF-elytra-525</t>
  </si>
  <si>
    <t>Rodrigues: Grotte Fougere, 30-60 cm, ROD-SF-elytra-526</t>
  </si>
  <si>
    <t>Rodrigues: Grotte Fougere, 30-60 cm, ROD-SF-elytra-527</t>
  </si>
  <si>
    <t>Rodrigues: Grotte Fougere, 30-60 cm, ROD-SF-elytra-528</t>
  </si>
  <si>
    <t>Rodrigues: Grotte Fougere, 30-60 cm, ROD-SF-elytra-529</t>
  </si>
  <si>
    <t>Rodrigues: Grotte Fougere, 30-60 cm, ROD-SF-elytra-530</t>
  </si>
  <si>
    <t>Rodrigues: Grotte Fougere, 30-60 cm, ROD-SF-elytra-531</t>
  </si>
  <si>
    <t>Rodrigues: Grotte Fougere, 30-60 cm, ROD-SF-elytra-532</t>
  </si>
  <si>
    <t>Rodrigues: Grotte Fougere, 30-60 cm, ROD-SF-elytra-533</t>
  </si>
  <si>
    <t>Rodrigues: Grotte Fougere, 30-60 cm, ROD-SF-elytra-534</t>
  </si>
  <si>
    <t>Rodrigues: Grotte Fougere, 30-60 cm, ROD-SF-elytra-535</t>
  </si>
  <si>
    <t>Rodrigues: Grotte Fougere, 30-60 cm, ROD-SF-elytra-536</t>
  </si>
  <si>
    <t>Rodrigues: Grotte Fougere, 30-60 cm, ROD-SF-elytra-537</t>
  </si>
  <si>
    <t>Rodrigues: Grotte Fougere, 30-60 cm, ROD-SF-elytra-538</t>
  </si>
  <si>
    <t>Rodrigues: Grotte Fougere, 30-60 cm, ROD-SF-elytra-539</t>
  </si>
  <si>
    <t>Rodrigues: Grotte Fougere, 30-60 cm, ROD-SF-elytra-540</t>
  </si>
  <si>
    <t>Rodrigues: Grotte Fougere, 30-60 cm, ROD-SF-elytra-541</t>
  </si>
  <si>
    <t>Rodrigues: Grotte Fougere, 30-60 cm, ROD-SF-elytra-542</t>
  </si>
  <si>
    <t>Rodrigues: Grotte Fougere, 30-60 cm, ROD-SF-elytra-543</t>
  </si>
  <si>
    <t>Rodrigues: Grotte Fougere, 30-60 cm, ROD-SF-elytra-544</t>
  </si>
  <si>
    <t>Rodrigues: Grotte Fougere, 30-60 cm, ROD-SF-elytra-545</t>
  </si>
  <si>
    <t>Rodrigues: Grotte Fougere, 30-60 cm, ROD-SF-elytra-546</t>
  </si>
  <si>
    <t>Rodrigues: Grotte Fougere, 30-60 cm, ROD-SF-elytra-547</t>
  </si>
  <si>
    <t>Rodrigues: Grotte Fougere, 30-60 cm, ROD-SF-elytra-548</t>
  </si>
  <si>
    <t>Rodrigues: Grotte Fougere, 30-60 cm, ROD-SF-elytra-549</t>
  </si>
  <si>
    <t>Rodrigues: Grotte Fougere, 30-60 cm, ROD-SF-elytra-550</t>
  </si>
  <si>
    <t>Rodrigues: Grotte Fougere, 30-60 cm, ROD-SF-elytra-551</t>
  </si>
  <si>
    <t>Rodrigues: Grotte Fougere, 30-60 cm, ROD-SF-elytra-552</t>
  </si>
  <si>
    <t>Rodrigues: Grotte Fougere, 30-60 cm, ROD-SF-elytra-553</t>
  </si>
  <si>
    <t>Rodrigues: Grotte Fougere, 30-60 cm, ROD-SF-elytra-554</t>
  </si>
  <si>
    <t>Rodrigues: Grotte Fougere, 30-60 cm, ROD-SF-elytra-555</t>
  </si>
  <si>
    <t>Rodrigues: Grotte Fougere, 30-60 cm, ROD-SF-elytra-556</t>
  </si>
  <si>
    <t>Rodrigues: Grotte Fougere, 30-60 cm, ROD-SF-elytra-557</t>
  </si>
  <si>
    <t>Rodrigues: Grotte Fougere, 30-60 cm, ROD-SF-elytra-558</t>
  </si>
  <si>
    <t>Rodrigues: Grotte Fougere, 30-60 cm, ROD-SF-elytra-559</t>
  </si>
  <si>
    <t>Rodrigues: Grotte Fougere, 30-60 cm, ROD-SF-elytra-560</t>
  </si>
  <si>
    <t>Rodrigues: Grotte Fougere, 30-60 cm, ROD-SF-elytra-561</t>
  </si>
  <si>
    <t>Rodrigues: Grotte Fougere, 30-60 cm, ROD-SF-elytra-562</t>
  </si>
  <si>
    <t>Rodrigues: Grotte Fougere, 30-60 cm, ROD-SF-elytra-563</t>
  </si>
  <si>
    <t>Rodrigues: Grotte Fougere, 30-60 cm, ROD-SF-elytra-564</t>
  </si>
  <si>
    <t>Rodrigues: Grotte Fougere, 30-60 cm, ROD-SF-elytra-565</t>
  </si>
  <si>
    <t>Rodrigues: Grotte Fougere, 30-60 cm, ROD-SF-elytra-566</t>
  </si>
  <si>
    <t>Rodrigues: Grotte Fougere, 30-60 cm, ROD-SF-elytra-567</t>
  </si>
  <si>
    <t>Rodrigues: Grotte Fougere, 30-60 cm, ROD-SF-elytra-568</t>
  </si>
  <si>
    <t>Rodrigues: Grotte Fougere, 30-60 cm, ROD-SF-elytra-569</t>
  </si>
  <si>
    <t>Rodrigues: Grotte Fougere, 30-60 cm, ROD-SF-elytra-570</t>
  </si>
  <si>
    <t>Rodrigues: Grotte Fougere, 30-60 cm, ROD-SF-elytra-571</t>
  </si>
  <si>
    <t>Rodrigues: Grotte Fougere, 30-60 cm, ROD-SF-elytra-572</t>
  </si>
  <si>
    <t>Rodrigues: Grotte Fougere, 30-60 cm, ROD-SF-elytra-573</t>
  </si>
  <si>
    <t>Rodrigues: Grotte Fougere, 30-60 cm, ROD-SF-elytra-574</t>
  </si>
  <si>
    <t>Rodrigues: Grotte Fougere, 30-60 cm, ROD-SF-elytra-575</t>
  </si>
  <si>
    <t>Rodrigues: Grotte Fougere, 30-60 cm, ROD-SF-elytra-576</t>
  </si>
  <si>
    <t>Rodrigues: Grotte Fougere, 30-60 cm, ROD-SF-elytra-577</t>
  </si>
  <si>
    <t>Rodrigues: Grotte Fougere, 30-60 cm, ROD-SF-elytra-578</t>
  </si>
  <si>
    <t>Rodrigues: Grotte Fougere, 30-60 cm, ROD-SF-elytra-579</t>
  </si>
  <si>
    <t>Rodrigues: Grotte Fougere, 30-60 cm, ROD-SF-elytra-580</t>
  </si>
  <si>
    <t>Rodrigues: Grotte Fougere, 30-60 cm, ROD-SF-elytra-581</t>
  </si>
  <si>
    <t>Rodrigues: Grotte Fougere, 30-60 cm, ROD-SF-elytra-582</t>
  </si>
  <si>
    <t>Rodrigues: Grotte Fougere, 30-60 cm, ROD-SF-elytra-583</t>
  </si>
  <si>
    <t>Rodrigues: Grotte Fougere, 30-60 cm, ROD-SF-elytra-584</t>
  </si>
  <si>
    <t>Rodrigues: Grotte Fougere, 30-60 cm, ROD-SF-elytra-585</t>
  </si>
  <si>
    <t>Rodrigues: Grotte Fougere, 30-60 cm, ROD-SF-elytra-586</t>
  </si>
  <si>
    <t>Rodrigues: Grotte Fougere, 30-60 cm, ROD-SF-elytra-587</t>
  </si>
  <si>
    <t>Rodrigues: Grotte Fougere, 30-60 cm, ROD-SF-elytra-588</t>
  </si>
  <si>
    <t>Rodrigues: Grotte Fougere, 30-60 cm, ROD-SF-elytra-589</t>
  </si>
  <si>
    <t>Rodrigues: Grotte Fougere, 30-60 cm, ROD-SF-elytra-590</t>
  </si>
  <si>
    <t>Rodrigues: Grotte Fougere, 30-60 cm, ROD-SF-elytra-591</t>
  </si>
  <si>
    <t>Rodrigues: Grotte Fougere, 30-60 cm, ROD-SF-elytra-592</t>
  </si>
  <si>
    <t>Rodrigues: Grotte Fougere, 30-60 cm, ROD-SF-elytra-593</t>
  </si>
  <si>
    <t>Rodrigues: Grotte Fougere, 30-60 cm, ROD-SF-elytra-594</t>
  </si>
  <si>
    <t>Rodrigues: Grotte Fougere, 30-60 cm, ROD-SF-elytra-595</t>
  </si>
  <si>
    <t>Rodrigues: Grotte Fougere, 30-60 cm, ROD-SF-elytra-596</t>
  </si>
  <si>
    <t>Rodrigues: Grotte Fougere, 30-60 cm, ROD-SF-elytra-597</t>
  </si>
  <si>
    <t>Rodrigues: Grotte Fougere, 30-60 cm, ROD-SF-elytra-598</t>
  </si>
  <si>
    <t>Rodrigues: Grotte Fougere, 30-60 cm, ROD-SF-elytra-599</t>
  </si>
  <si>
    <t>Rodrigues: Grotte Fougere, 30-60 cm, ROD-SF-elytra-600</t>
  </si>
  <si>
    <t>Rodrigues: Grotte Fougere, 30-60 cm, ROD-SF-elytra-601</t>
  </si>
  <si>
    <t>Rodrigues: Grotte Fougere, 30-60 cm, ROD-SF-elytra-602</t>
  </si>
  <si>
    <t>Rodrigues: Grotte Fougere, 30-60 cm, ROD-SF-elytra-603</t>
  </si>
  <si>
    <t>Rodrigues: Grotte Fougere, 30-60 cm, ROD-SF-elytra-604</t>
  </si>
  <si>
    <t>Rodrigues: Grotte Fougere, 30-60 cm, ROD-SF-elytra-605</t>
  </si>
  <si>
    <t>Rodrigues: Grotte Fougere, 30-60 cm, ROD-SF-elytra-606</t>
  </si>
  <si>
    <t>Rodrigues: Grotte Fougere, 30-60 cm, ROD-SF-elytra-607</t>
  </si>
  <si>
    <t>Rodrigues: Grotte Fougere, 30-60 cm, ROD-SF-elytra-608</t>
  </si>
  <si>
    <t>Rodrigues: Grotte Fougere, 30-60 cm, ROD-SF-elytra-609</t>
  </si>
  <si>
    <t>Rodrigues: Grotte Fougere, 30-60 cm, ROD-SF-elytra-610</t>
  </si>
  <si>
    <t>Rodrigues: Grotte Fougere, 30-60 cm, ROD-SF-elytra-611</t>
  </si>
  <si>
    <t>Rodrigues: Grotte Fougere, 30-60 cm, ROD-SF-elytra-612</t>
  </si>
  <si>
    <t>Rodrigues: Grotte Fougere, 30-60 cm, ROD-SF-elytra-613</t>
  </si>
  <si>
    <t>Rodrigues: Grotte Fougere, 30-60 cm, ROD-SF-elytra-614</t>
  </si>
  <si>
    <t>Rodrigues: Grotte Fougere, 30-60 cm, ROD-SF-elytra-615</t>
  </si>
  <si>
    <t>Rodrigues: Grotte Fougere, 30-60 cm, ROD-SF-elytra-616</t>
  </si>
  <si>
    <t>Rodrigues: Grotte Fougere, 30-60 cm, ROD-SF-elytra-617</t>
  </si>
  <si>
    <t>Rodrigues: Grotte Fougere, 30-60 cm, ROD-SF-elytra-618</t>
  </si>
  <si>
    <t>Rodrigues: Grotte Fougere, 30-60 cm, ROD-SF-elytra-619</t>
  </si>
  <si>
    <t>Rodrigues: Grotte Fougere, 30-60 cm, ROD-SF-elytra-620</t>
  </si>
  <si>
    <t>Rodrigues: Grotte Fougere, 30-60 cm, ROD-SF-elytra-621</t>
  </si>
  <si>
    <t>Rodrigues: Grotte Fougere, 30-60 cm, ROD-SF-elytra-622</t>
  </si>
  <si>
    <t>Rodrigues: Grotte Fougere, 30-60 cm, ROD-SF-elytra-623</t>
  </si>
  <si>
    <t>Rodrigues: Grotte Fougere, 30-60 cm, ROD-SF-elytra-624</t>
  </si>
  <si>
    <t>Rodrigues: Grotte Fougere, 30-60 cm, ROD-SF-elytra-625</t>
  </si>
  <si>
    <t>Rodrigues: Grotte Fougere, 30-60 cm, ROD-SF-elytra-626</t>
  </si>
  <si>
    <t>Rodrigues: Grotte Fougere, 30-60 cm, ROD-SF-elytra-627</t>
  </si>
  <si>
    <t>Rodrigues: Grotte Fougere, 30-60 cm, ROD-SF-elytra-628</t>
  </si>
  <si>
    <t>Rodrigues: Grotte Fougere, 30-60 cm, ROD-SF-elytra-629</t>
  </si>
  <si>
    <t>Rodrigues: Grotte Fougere, 30-60 cm, ROD-SF-elytra-630</t>
  </si>
  <si>
    <t>Rodrigues: Grotte Fougere, 30-60 cm, ROD-SF-elytra-631</t>
  </si>
  <si>
    <t>Rodrigues: Grotte Fougere, 30-60 cm, ROD-SF-elytra-632</t>
  </si>
  <si>
    <t>Rodrigues: Grotte Fougere, 30-60 cm, ROD-SF-elytra-633</t>
  </si>
  <si>
    <t>Rodrigues: Grotte Fougere, 30-60 cm, ROD-SF-elytra-634</t>
  </si>
  <si>
    <t>Rodrigues: Grotte Fougere, 30-60 cm, ROD-SF-elytra-635</t>
  </si>
  <si>
    <t>Rodrigues: Grotte Fougere, 30-60 cm, ROD-SF-elytra-636</t>
  </si>
  <si>
    <t>Rodrigues: Grotte Fougere, 30-60 cm, ROD-SF-elytra-637</t>
  </si>
  <si>
    <t>Rodrigues: Grotte Fougere, 30-60 cm, ROD-SF-elytra-638</t>
  </si>
  <si>
    <t>Rodrigues: Grotte Fougere, 30-60 cm, ROD-SF-elytra-639</t>
  </si>
  <si>
    <t>Rodrigues: Grotte Fougere, 30-60 cm, ROD-SF-elytra-640</t>
  </si>
  <si>
    <t>Rodrigues: Grotte Fougere, 30-60 cm, ROD-SF-elytra-641</t>
  </si>
  <si>
    <t>Rodrigues: Grotte Fougere, 30-60 cm, ROD-SF-elytra-642</t>
  </si>
  <si>
    <t>Rodrigues: Grotte Fougere, 30-60 cm, ROD-SF-elytra-643</t>
  </si>
  <si>
    <t>Rodrigues: Grotte Fougere, 30-60 cm, ROD-SF-elytra-644</t>
  </si>
  <si>
    <t>Rodrigues: Grotte Fougere, 30-60 cm, ROD-SF-elytra-645</t>
  </si>
  <si>
    <t>Rodrigues: Grotte Fougere, 30-60 cm, ROD-SF-elytra-646</t>
  </si>
  <si>
    <t>Rodrigues: Grotte Fougere, 30-60 cm, ROD-SF-elytra-647</t>
  </si>
  <si>
    <t>Rodrigues: Grotte Fougere, 30-60 cm, ROD-SF-elytra-648</t>
  </si>
  <si>
    <t>Rodrigues: Grotte Fougere, 30-60 cm, ROD-SF-elytra-649</t>
  </si>
  <si>
    <t>Rodrigues: Grotte Fougere, 30-60 cm, ROD-SF-elytra-650</t>
  </si>
  <si>
    <t>Rodrigues: Grotte Fougere, 30-60 cm, ROD-SF-elytra-651</t>
  </si>
  <si>
    <t>Rodrigues: Grotte Fougere, 30-60 cm, ROD-SF-elytra-652</t>
  </si>
  <si>
    <t>Rodrigues: Grotte Fougere, 30-60 cm, ROD-SF-elytra-653</t>
  </si>
  <si>
    <t>Rodrigues: Grotte Fougere, 30-60 cm, ROD-SF-elytra-654</t>
  </si>
  <si>
    <t>Rodrigues: Grotte Fougere, 30-60 cm, ROD-SF-elytra-655</t>
  </si>
  <si>
    <t>Rodrigues: Grotte Fougere, 30-60 cm, ROD-SF-elytra-656</t>
  </si>
  <si>
    <t>Rodrigues: Grotte Fougere, 30-60 cm, ROD-SF-elytra-657</t>
  </si>
  <si>
    <t>Rodrigues: Grotte Fougere, 30-60 cm, ROD-SF-elytra-658</t>
  </si>
  <si>
    <t>Rodrigues: Grotte Fougere, 30-60 cm, ROD-SF-elytra-659</t>
  </si>
  <si>
    <t>Rodrigues: Grotte Fougere, 30-60 cm, ROD-SF-elytra-660</t>
  </si>
  <si>
    <t>Rodrigues: Grotte Fougere, 30-60 cm, ROD-SF-elytra-661</t>
  </si>
  <si>
    <t>Rodrigues: Grotte Fougere, 30-60 cm, ROD-SF-elytra-662</t>
  </si>
  <si>
    <t>Rodrigues: Grotte Fougere, 30-60 cm, ROD-SF-elytra-663</t>
  </si>
  <si>
    <t>Rodrigues: Grotte Fougere, 30-60 cm, ROD-SF-elytra-664</t>
  </si>
  <si>
    <t>Rodrigues: Grotte Fougere, 30-60 cm, ROD-SF-elytra-665</t>
  </si>
  <si>
    <t>Rodrigues: Grotte Fougere, 30-60 cm, ROD-SF-elytra-666</t>
  </si>
  <si>
    <t>Rodrigues: Grotte Fougere, 30-60 cm, ROD-SF-elytra-667</t>
  </si>
  <si>
    <t>Rodrigues: Grotte Fougere, 30-60 cm, ROD-SF-elytra-668</t>
  </si>
  <si>
    <t>Rodrigues: Grotte Fougere, 30-60 cm, ROD-SF-elytra-669</t>
  </si>
  <si>
    <t>Rodrigues: Grotte Fougere, 30-60 cm, ROD-SF-elytra-670</t>
  </si>
  <si>
    <t>Rodrigues: Grotte Fougere, 30-60 cm, ROD-SF-elytra-671</t>
  </si>
  <si>
    <t>Rodrigues: Grotte Fougere, 30-60 cm, ROD-SF-elytra-672</t>
  </si>
  <si>
    <t>Rodrigues: Grotte Fougere, 30-60 cm, ROD-SF-elytra-673</t>
  </si>
  <si>
    <t>Rodrigues: Grotte Fougere, 30-60 cm, ROD-SF-elytra-674</t>
  </si>
  <si>
    <t>Rodrigues: Grotte Fougere, 30-60 cm, ROD-SF-elytra-675</t>
  </si>
  <si>
    <t>Rodrigues: Grotte Fougere, 30-60 cm, ROD-SF-elytra-676</t>
  </si>
  <si>
    <t>Rodrigues: Grotte Fougere, 30-60 cm, ROD-SF-elytra-677</t>
  </si>
  <si>
    <t>Rodrigues: Grotte Fougere, 30-60 cm, ROD-SF-elytra-678</t>
  </si>
  <si>
    <t>Rodrigues: Grotte Fougere, 30-60 cm, ROD-SF-elytra-679</t>
  </si>
  <si>
    <t>Rodrigues: Grotte Fougere, 30-60 cm, ROD-SF-elytra-680</t>
  </si>
  <si>
    <t>Rodrigues: Grotte Fougere, 30-60 cm, ROD-SF-elytra-681</t>
  </si>
  <si>
    <t>Rodrigues: Grotte Fougere, 30-60 cm, ROD-SF-elytra-682</t>
  </si>
  <si>
    <t>Rodrigues: Grotte Fougere, 30-60 cm, ROD-SF-elytra-683</t>
  </si>
  <si>
    <t>Rodrigues: Grotte Fougere, 30-60 cm, ROD-SF-elytra-684</t>
  </si>
  <si>
    <t>Rodrigues: Grotte Fougere, 30-60 cm, ROD-SF-elytra-685</t>
  </si>
  <si>
    <t>Rodrigues: Grotte Fougere, 30-60 cm, ROD-SF-elytra-686</t>
  </si>
  <si>
    <t>Rodrigues: Grotte Fougere, 30-60 cm, ROD-SF-elytra-687</t>
  </si>
  <si>
    <t>Rodrigues: Grotte Fougere, 30-60 cm, ROD-SF-elytra-688</t>
  </si>
  <si>
    <t>Rodrigues: Grotte Fougere, 30-60 cm, ROD-SF-elytra-689</t>
  </si>
  <si>
    <t>Rodrigues: Grotte Fougere, 30-60 cm, ROD-SF-elytra-690</t>
  </si>
  <si>
    <t>Rodrigues: Grotte Fougere, 30-60 cm, ROD-SF-elytra-691</t>
  </si>
  <si>
    <t>Rodrigues: Grotte Fougere, 30-60 cm, ROD-SF-elytra-692</t>
  </si>
  <si>
    <t>Rodrigues: Grotte Fougere, 30-60 cm, ROD-SF-elytra-693</t>
  </si>
  <si>
    <t>Rodrigues: Grotte Fougere, 30-60 cm, ROD-SF-elytra-694</t>
  </si>
  <si>
    <t>Rodrigues: Grotte Fougere, 30-60 cm, ROD-SF-elytra-695</t>
  </si>
  <si>
    <t>Rodrigues: Grotte Fougere, 30-60 cm, ROD-SF-elytra-696</t>
  </si>
  <si>
    <t>Rodrigues: Grotte Fougere, 30-60 cm, ROD-SF-elytra-697</t>
  </si>
  <si>
    <t>Rodrigues: Grotte Fougere, 30-60 cm, ROD-SF-elytra-698</t>
  </si>
  <si>
    <t>Rodrigues: Grotte Fougere, 30-60 cm, ROD-SF-elytra-699</t>
  </si>
  <si>
    <t>Rodrigues: Grotte Fougere, 30-60 cm, ROD-SF-elytra-700</t>
  </si>
  <si>
    <t>Rodrigues: Grotte Fougere, 30-60 cm, ROD-SF-elytra-701</t>
  </si>
  <si>
    <t>Rodrigues: Grotte Fougere, 30-60 cm, ROD-SF-elytra-702</t>
  </si>
  <si>
    <t>Rodrigues: Grotte Fougere, 30-60 cm, ROD-SF-elytra-703</t>
  </si>
  <si>
    <t>Rodrigues: Grotte Fougere, 30-60 cm, ROD-SF-elytra-704</t>
  </si>
  <si>
    <t>Rodrigues: Grotte Fougere, 30-60 cm, ROD-SF-elytra-705</t>
  </si>
  <si>
    <t>Rodrigues: Grotte Fougere, 30-60 cm, ROD-SF-elytra-706</t>
  </si>
  <si>
    <t>Rodrigues: Grotte Fougere, 30-60 cm, ROD-SF-elytra-707</t>
  </si>
  <si>
    <t>Rodrigues: Grotte Fougere, 30-60 cm, ROD-SF-elytra-708</t>
  </si>
  <si>
    <t>Rodrigues: Grotte Fougere, 30-60 cm, ROD-SF-elytra-709</t>
  </si>
  <si>
    <t>Rodrigues: Grotte Fougere, 30-60 cm, ROD-SF-elytra-710</t>
  </si>
  <si>
    <t>Rodrigues: Grotte Fougere, 30-60 cm, ROD-SF-elytra-711</t>
  </si>
  <si>
    <t>Rodrigues: Grotte Fougere, 30-60 cm, ROD-SF-elytra-712</t>
  </si>
  <si>
    <t>Rodrigues: Grotte Fougere, 30-60 cm, ROD-SF-elytra-713</t>
  </si>
  <si>
    <t>Rodrigues: Grotte Fougere, 30-60 cm, ROD-SF-elytra-714</t>
  </si>
  <si>
    <t>Rodrigues: Grotte Fougere, 30-60 cm, ROD-SF-elytra-715</t>
  </si>
  <si>
    <t>Rodrigues: Grotte Fougere, 30-60 cm, ROD-SF-elytra-716</t>
  </si>
  <si>
    <t>Rodrigues: Grotte Fougere, 30-60 cm, ROD-SF-elytra-717</t>
  </si>
  <si>
    <t>Rodrigues: Grotte Fougere, 30-60 cm, ROD-SF-elytra-718</t>
  </si>
  <si>
    <t>Rodrigues: Grotte Fougere, 30-60 cm, ROD-SF-elytra-719</t>
  </si>
  <si>
    <t>Rodrigues: Grotte Fougere, 30-60 cm, ROD-SF-elytra-720</t>
  </si>
  <si>
    <t>Rodrigues: Grotte Fougere, 30-60 cm, ROD-SF-elytra-721</t>
  </si>
  <si>
    <t>Rodrigues: Grotte Fougere, 30-60 cm, ROD-SF-elytra-722</t>
  </si>
  <si>
    <t>Rodrigues: Grotte Fougere, 30-60 cm, ROD-SF-elytra-723</t>
  </si>
  <si>
    <t>Rodrigues: Grotte Fougere, 30-60 cm, ROD-SF-elytra-724</t>
  </si>
  <si>
    <t>Rodrigues: Grotte Fougere, 30-60 cm, ROD-SF-elytra-725</t>
  </si>
  <si>
    <t>Rodrigues: Grotte Fougere, 30-60 cm, ROD-SF-elytra-726</t>
  </si>
  <si>
    <t>Rodrigues: Grotte Fougere, 30-60 cm, ROD-SF-elytra-727</t>
  </si>
  <si>
    <t>Rodrigues: Grotte Fougere, 30-60 cm, ROD-SF-elytra-728</t>
  </si>
  <si>
    <t>Rodrigues: Grotte Fougere, 30-60 cm, ROD-SF-elytra-729</t>
  </si>
  <si>
    <t>Rodrigues: Grotte Fougere, 30-60 cm, ROD-SF-elytra-730</t>
  </si>
  <si>
    <t>Rodrigues: Grotte Fougere, 30-60 cm, ROD-SF-elytra-731</t>
  </si>
  <si>
    <t>Rodrigues: Grotte Fougere, 30-60 cm, ROD-SF-elytra-732</t>
  </si>
  <si>
    <t>Rodrigues: Grotte Fougere, 30-60 cm, ROD-SF-elytra-733</t>
  </si>
  <si>
    <t>Rodrigues: Grotte Fougere, 30-60 cm, ROD-SF-elytra-734</t>
  </si>
  <si>
    <t>Rodrigues: Grotte Fougere, 30-60 cm, ROD-SF-pron-60</t>
  </si>
  <si>
    <t>pron-60</t>
  </si>
  <si>
    <t>Rodrigues: Grotte Fougere, 30-60 cm, ROD-SF-pron-61</t>
  </si>
  <si>
    <t>pron-61</t>
  </si>
  <si>
    <t>Rodrigues: Grotte Fougere, 30-60 cm, ROD-SF-pron-62</t>
  </si>
  <si>
    <t>pron-62</t>
  </si>
  <si>
    <t>Rodrigues: Grotte Fougere, 30-60 cm, ROD-SF-pron-63</t>
  </si>
  <si>
    <t>pron-63</t>
  </si>
  <si>
    <t>Rodrigues: Grotte Fougere, 30-60 cm, ROD-SF-pron-64</t>
  </si>
  <si>
    <t>pron-64</t>
  </si>
  <si>
    <t>Rodrigues: Grotte Fougere, 30-60 cm, ROD-SF-pron-65</t>
  </si>
  <si>
    <t>pron-65</t>
  </si>
  <si>
    <t>Rodrigues: Grotte Fougere, 30-60 cm, ROD-SF-pron-66</t>
  </si>
  <si>
    <t>pron-66</t>
  </si>
  <si>
    <t>Rodrigues: Grotte Fougere, 30-60 cm, ROD-SF-pron-67</t>
  </si>
  <si>
    <t>pron-67</t>
  </si>
  <si>
    <t>Rodrigues: Grotte Fougere, 30-60 cm, ROD-SF-pron-68</t>
  </si>
  <si>
    <t>pron-68</t>
  </si>
  <si>
    <t>Rodrigues: Grotte Fougere, 30-60 cm, ROD-SF-pron-69</t>
  </si>
  <si>
    <t>pron-69</t>
  </si>
  <si>
    <t>Rodrigues: Grotte Fougere, 30-60 cm, ROD-SF-pron-70</t>
  </si>
  <si>
    <t>pron-70</t>
  </si>
  <si>
    <t>has profemur</t>
  </si>
  <si>
    <t>Rodrigues: Grotte Fougere, 30-60 cm, ROD-SF-pron-71</t>
  </si>
  <si>
    <t>pron-71</t>
  </si>
  <si>
    <t>Rodrigues: Grotte Fougere, 30-60 cm, ROD-SF-pron-72</t>
  </si>
  <si>
    <t>pron-72</t>
  </si>
  <si>
    <t>Rodrigues: Grotte Fougere, 30-60 cm, ROD-SF-pron-73</t>
  </si>
  <si>
    <t>pron-73</t>
  </si>
  <si>
    <t>has proleg and two pits on ptonorum</t>
  </si>
  <si>
    <t>Rodrigues: Grotte Fougere, 30-60 cm, ROD-SF-pron-74</t>
  </si>
  <si>
    <t>pron-74</t>
  </si>
  <si>
    <t>Rodrigues: Grotte Fougere, 30-60 cm, ROD-SF-pron-75</t>
  </si>
  <si>
    <t>pron-75</t>
  </si>
  <si>
    <t>Rodrigues: Grotte Fougere, 30-60 cm, ROD-SF-pron-76</t>
  </si>
  <si>
    <t>pron-76</t>
  </si>
  <si>
    <t>Rodrigues: Grotte Fougere, 30-60 cm, ROD-SF-pron-77</t>
  </si>
  <si>
    <t>pron-77</t>
  </si>
  <si>
    <t>Rodrigues: Grotte Fougere, 30-60 cm, ROD-SF-pron-78</t>
  </si>
  <si>
    <t>pron-78</t>
  </si>
  <si>
    <t>triangle</t>
  </si>
  <si>
    <t>Rodrigues: Grotte Fougere, 30-60 cm, ROD-SF-pron-79</t>
  </si>
  <si>
    <t>pron-79</t>
  </si>
  <si>
    <t>Rodrigues: Grotte Fougere, 30-60 cm, ROD-SF-pron-80</t>
  </si>
  <si>
    <t>pron-80</t>
  </si>
  <si>
    <t>Rodrigues: Grotte Fougere, 30-60 cm, ROD-SF-pron-81</t>
  </si>
  <si>
    <t>pron-81</t>
  </si>
  <si>
    <t>Rodrigues: Grotte Fougere, 30-60 cm, ROD-SF-pron-82</t>
  </si>
  <si>
    <t>pron-82</t>
  </si>
  <si>
    <t>Rodrigues: Grotte Fougere, 30-60 cm, ROD-SF-pron-83</t>
  </si>
  <si>
    <t>pron-83</t>
  </si>
  <si>
    <t>Rodrigues: Grotte Fougere, 30-60 cm, ROD-SF-pron-84</t>
  </si>
  <si>
    <t>pron-84</t>
  </si>
  <si>
    <t>heavily punct</t>
  </si>
  <si>
    <t>Rodrigues: Grotte Fougere, 30-60 cm, ROD-SF-pron-85</t>
  </si>
  <si>
    <t>pron-85</t>
  </si>
  <si>
    <t>Rodrigues: Grotte Fougere, 30-60 cm, ROD-SF-pron-86</t>
  </si>
  <si>
    <t>pron-86</t>
  </si>
  <si>
    <t>Rodrigues: Grotte Fougere, 30-60 cm, ROD-SF-pron-87</t>
  </si>
  <si>
    <t>pron-87</t>
  </si>
  <si>
    <t>Rodrigues: Grotte Fougere, 30-60 cm, ROD-SF-pron-88</t>
  </si>
  <si>
    <t>pron-88</t>
  </si>
  <si>
    <t>Rodrigues: Grotte Fougere, 30-60 cm, ROD-SF-pron-89</t>
  </si>
  <si>
    <t>pron-89</t>
  </si>
  <si>
    <t>Rodrigues: Grotte Fougere, 30-60 cm, ROD-SF-pron-90</t>
  </si>
  <si>
    <t>pron-90</t>
  </si>
  <si>
    <t>Rodrigues: Grotte Fougere, 30-60 cm, ROD-SF-pron-91</t>
  </si>
  <si>
    <t>pron-91</t>
  </si>
  <si>
    <t>Rodrigues: Grotte Fougere, 30-60 cm, ROD-SF-pron-92</t>
  </si>
  <si>
    <t>pron-92</t>
  </si>
  <si>
    <t>Rodrigues: Grotte Fougere, 30-60 cm, ROD-SF-pron-93</t>
  </si>
  <si>
    <t>pron-93</t>
  </si>
  <si>
    <t>Rodrigues: Grotte Fougere, 30-60 cm, ROD-SF-pron-94</t>
  </si>
  <si>
    <t>pron-94</t>
  </si>
  <si>
    <t>Rodrigues: Grotte Fougere, 30-60 cm, ROD-SF-pron-95</t>
  </si>
  <si>
    <t>pron-95</t>
  </si>
  <si>
    <t>Rodrigues: Grotte Fougere, 30-60 cm, ROD-SF-pron-96</t>
  </si>
  <si>
    <t>pron-96</t>
  </si>
  <si>
    <t>Rodrigues: Grotte Fougere, 30-60 cm, ROD-SF-pron-97</t>
  </si>
  <si>
    <t>pron-97</t>
  </si>
  <si>
    <t>Rodrigues: Grotte Fougere, 30-60 cm, ROD-SF-pron-98</t>
  </si>
  <si>
    <t>pron-98</t>
  </si>
  <si>
    <t>Rodrigues: Grotte Fougere, 30-60 cm, ROD-SF-pron-99</t>
  </si>
  <si>
    <t>pron-99</t>
  </si>
  <si>
    <t>Rodrigues: Grotte Fougere, 30-60 cm, ROD-SF-pron-100</t>
  </si>
  <si>
    <t>pron-100</t>
  </si>
  <si>
    <t>Rodrigues: Grotte Fougere, 30-60 cm, ROD-SF-pron-101</t>
  </si>
  <si>
    <t>pron-101</t>
  </si>
  <si>
    <t>Rodrigues: Grotte Fougere, 30-60 cm, ROD-SF-pron-102</t>
  </si>
  <si>
    <t>pron-102</t>
  </si>
  <si>
    <t>Rodrigues: Grotte Fougere, 30-60 cm, ROD-SF-pron-103</t>
  </si>
  <si>
    <t>pron-103</t>
  </si>
  <si>
    <t>heavy punct</t>
  </si>
  <si>
    <t>Rodrigues: Grotte Fougere, 30-60 cm, ROD-SF-pron-104</t>
  </si>
  <si>
    <t>pron-104</t>
  </si>
  <si>
    <t>Rodrigues: Grotte Fougere, 30-60 cm, ROD-SF-pron-105</t>
  </si>
  <si>
    <t>pron-105</t>
  </si>
  <si>
    <t>Rodrigues: Grotte Fougere, 30-60 cm, ROD-SF-pron-106</t>
  </si>
  <si>
    <t>pron-106</t>
  </si>
  <si>
    <t>has legs and hairs still attached!</t>
  </si>
  <si>
    <t>Rodrigues: Grotte Fougere, 30-60 cm, ROD-SF-pron-107</t>
  </si>
  <si>
    <t>pron-107</t>
  </si>
  <si>
    <t>Rodrigues: Grotte Fougere, 30-60 cm, ROD-SF-pron-108</t>
  </si>
  <si>
    <t>pron-108</t>
  </si>
  <si>
    <t>Rodrigues: Grotte Fougere, 30-60 cm, ROD-SF-pron-109</t>
  </si>
  <si>
    <t>pron-109</t>
  </si>
  <si>
    <t>Rodrigues: Grotte Fougere, 30-60 cm, ROD-SF-pron-110</t>
  </si>
  <si>
    <t>pron-110</t>
  </si>
  <si>
    <t>Rodrigues: Grotte Fougere, 30-60 cm, ROD-SF-pron-111</t>
  </si>
  <si>
    <t>pron-111</t>
  </si>
  <si>
    <t>Rodrigues: Grotte Fougere, 30-60 cm, ROD-SF-pron-112</t>
  </si>
  <si>
    <t>pron-112</t>
  </si>
  <si>
    <t>Rodrigues: Grotte Fougere, 30-60 cm, ROD-SF-pron-113</t>
  </si>
  <si>
    <t>pron-113</t>
  </si>
  <si>
    <t>Rodrigues: Grotte Fougere, 30-60 cm, ROD-SF-pron-114</t>
  </si>
  <si>
    <t>pron-114</t>
  </si>
  <si>
    <t>Rodrigues: Grotte Fougere, 30-60 cm, ROD-SF-pron-115</t>
  </si>
  <si>
    <t>pron-115</t>
  </si>
  <si>
    <t>Rodrigues: Grotte Fougere, 30-60 cm, ROD-SF-pron-116</t>
  </si>
  <si>
    <t>pron-116</t>
  </si>
  <si>
    <t>Rodrigues: Grotte Fougere, 30-60 cm, ROD-SF-pron-117</t>
  </si>
  <si>
    <t>pron-117</t>
  </si>
  <si>
    <t>Rodrigues: Grotte Fougere, 30-60 cm, ROD-SF-pron-118</t>
  </si>
  <si>
    <t>pron-118</t>
  </si>
  <si>
    <t>Rodrigues: Grotte Fougere, 30-60 cm, ROD-SF-pron-119</t>
  </si>
  <si>
    <t>pron-119</t>
  </si>
  <si>
    <t>Rodrigues: Grotte Fougere, 30-60 cm, ROD-SF-pron-120</t>
  </si>
  <si>
    <t>pron-120</t>
  </si>
  <si>
    <t>Rodrigues: Grotte Fougere, 30-60 cm, ROD-SF-pron-121</t>
  </si>
  <si>
    <t>pron-121</t>
  </si>
  <si>
    <t>Rodrigues: Grotte Fougere, 30-60 cm, ROD-SF-pron-122</t>
  </si>
  <si>
    <t>pron-122</t>
  </si>
  <si>
    <t>5.4x</t>
  </si>
  <si>
    <t>Rodrigues: Grotte Fougere, 30-60 cm, ROD-SF-pron-123</t>
  </si>
  <si>
    <t>pron-123</t>
  </si>
  <si>
    <t>Rodrigues: Grotte Fougere, 30-60 cm, ROD-SF-pron-124</t>
  </si>
  <si>
    <t>pron-124</t>
  </si>
  <si>
    <t>Rodrigues: Grotte Fougere, 30-60 cm, ROD-SF-pron-125</t>
  </si>
  <si>
    <t>pron-125</t>
  </si>
  <si>
    <t>Rodrigues: Grotte Fougere, 30-60 cm, ROD-SF-pron-126</t>
  </si>
  <si>
    <t>pron-126</t>
  </si>
  <si>
    <t>Rodrigues: Grotte Fougere, 30-60 cm, ROD-SF-pron-127</t>
  </si>
  <si>
    <t>pron-127</t>
  </si>
  <si>
    <t>Rodrigues: Grotte Fougere, 30-60 cm, ROD-SF-pron-128</t>
  </si>
  <si>
    <t>pron-128</t>
  </si>
  <si>
    <t>Rodrigues: Grotte Fougere, 30-60 cm, ROD-SF-pron-129</t>
  </si>
  <si>
    <t>pron-129</t>
  </si>
  <si>
    <t>Rodrigues: Grotte Fougere, 30-60 cm, ROD-SF-pron-130</t>
  </si>
  <si>
    <t>pron-130</t>
  </si>
  <si>
    <t>Rodrigues: Grotte Fougere, 30-60 cm, ROD-SF-pron-131</t>
  </si>
  <si>
    <t>pron-131</t>
  </si>
  <si>
    <t>Rodrigues: Grotte Fougere, 30-60 cm, ROD-SF-pron-132</t>
  </si>
  <si>
    <t>pron-132</t>
  </si>
  <si>
    <t>Rodrigues: Grotte Fougere, 30-60 cm, ROD-SF-pron-133</t>
  </si>
  <si>
    <t>pron-133</t>
  </si>
  <si>
    <t>Rodrigues: Grotte Fougere, 30-60 cm, ROD-SF-pron-134</t>
  </si>
  <si>
    <t>pron-134</t>
  </si>
  <si>
    <t>Rodrigues: Grotte Fougere, 30-60 cm, ROD-SF-pron-135</t>
  </si>
  <si>
    <t>pron-135</t>
  </si>
  <si>
    <t>Rodrigues: Grotte Fougere, 30-60 cm, ROD-SF-pron-136</t>
  </si>
  <si>
    <t>pron-136</t>
  </si>
  <si>
    <t>Rodrigues: Grotte Fougere, 30-60 cm, ROD-SF-pron-137</t>
  </si>
  <si>
    <t>pron-137</t>
  </si>
  <si>
    <t>Rodrigues: Grotte Fougere, 30-60 cm, ROD-SF-pron-138</t>
  </si>
  <si>
    <t>pron-138</t>
  </si>
  <si>
    <t>Rodrigues: Grotte Fougere, 30-60 cm, ROD-SF-pron-139</t>
  </si>
  <si>
    <t>pron-139</t>
  </si>
  <si>
    <t>Rodrigues: Grotte Fougere, 30-60 cm, ROD-SF-pron-140</t>
  </si>
  <si>
    <t>pron-140</t>
  </si>
  <si>
    <t>Rodrigues: Grotte Fougere, 30-60 cm, ROD-SF-pron-141</t>
  </si>
  <si>
    <t>pron-141</t>
  </si>
  <si>
    <t>Rodrigues: Grotte Fougere, 30-60 cm, ROD-SF-pron-142</t>
  </si>
  <si>
    <t>pron-142</t>
  </si>
  <si>
    <t>head!</t>
  </si>
  <si>
    <t>Rodrigues: Grotte Fougere, 30-60 cm, ROD-SF-pron-143</t>
  </si>
  <si>
    <t>pron-143</t>
  </si>
  <si>
    <t>Rodrigues: Grotte Fougere, 30-60 cm, ROD-SF-pron-144</t>
  </si>
  <si>
    <t>pron-144</t>
  </si>
  <si>
    <t>Rodrigues: Grotte Fougere, 30-60 cm, ROD-SF-pron-145</t>
  </si>
  <si>
    <t>pron-145</t>
  </si>
  <si>
    <t>Rodrigues: Grotte Fougere, 30-60 cm, ROD-SF-pron-146</t>
  </si>
  <si>
    <t>pron-146</t>
  </si>
  <si>
    <t>Rodrigues: Grotte Fougere, 30-60 cm, ROD-SF-pron-147</t>
  </si>
  <si>
    <t>pron-147</t>
  </si>
  <si>
    <t>Rodrigues: Grotte Fougere, 30-60 cm, ROD-SF-pron-148</t>
  </si>
  <si>
    <t>pron-148</t>
  </si>
  <si>
    <t>Rodrigues: Grotte Fougere, 30-60 cm, ROD-SF-pron-149</t>
  </si>
  <si>
    <t>pron-149</t>
  </si>
  <si>
    <t>Rodrigues: Grotte Fougere, 30-60 cm, ROD-SF-pron-150</t>
  </si>
  <si>
    <t>pron-150</t>
  </si>
  <si>
    <t>Rodrigues: Grotte Fougere, 30-60 cm, ROD-SF-pron-151</t>
  </si>
  <si>
    <t>pron-151</t>
  </si>
  <si>
    <t>empty!</t>
  </si>
  <si>
    <t>Rodrigues: Grotte Fougere, 30-60 cm, ROD-SF-pron-152</t>
  </si>
  <si>
    <t>pron-152</t>
  </si>
  <si>
    <t>Rodrigues: Grotte Fougere, 30-60 cm, ROD-SF-pron-153</t>
  </si>
  <si>
    <t>pron-153</t>
  </si>
  <si>
    <t>Rodrigues: Grotte Fougere, 30-60 cm, ROD-SF-pron-154</t>
  </si>
  <si>
    <t>pron-154</t>
  </si>
  <si>
    <t>Rodrigues: Grotte Fougere, 30-60 cm, ROD-SF-pron-155</t>
  </si>
  <si>
    <t>pron-155</t>
  </si>
  <si>
    <t>Rodrigues: Grotte Fougere, 30-60 cm, ROD-SF-pron-156</t>
  </si>
  <si>
    <t>pron-156</t>
  </si>
  <si>
    <t>Rodrigues: Grotte Fougere, 30-60 cm, ROD-SF-pron-157</t>
  </si>
  <si>
    <t>pron-157</t>
  </si>
  <si>
    <t>Rodrigues: Grotte Fougere, 30-60 cm, ROD-SF-pron-158</t>
  </si>
  <si>
    <t>pron-158</t>
  </si>
  <si>
    <t>Rodrigues: Grotte Fougere, 30-60 cm, ROD-SF-pron-159</t>
  </si>
  <si>
    <t>pron-159</t>
  </si>
  <si>
    <t>Rodrigues: Grotte Fougere, 30-60 cm, ROD-SF-pron-160</t>
  </si>
  <si>
    <t>pron-160</t>
  </si>
  <si>
    <t>Rodrigues: Grotte Fougere, 30-60 cm, ROD-SF-pron-161</t>
  </si>
  <si>
    <t>pron-161</t>
  </si>
  <si>
    <t>Rodrigues: Grotte Fougere, 30-60 cm, ROD-SF-pron-162</t>
  </si>
  <si>
    <t>pron-162</t>
  </si>
  <si>
    <t>Rodrigues: Grotte Fougere, 30-60 cm, ROD-SF-pron-163</t>
  </si>
  <si>
    <t>pron-163</t>
  </si>
  <si>
    <t>Rodrigues: Grotte Fougere, 30-60 cm, ROD-SF-pron-164</t>
  </si>
  <si>
    <t>pron-164</t>
  </si>
  <si>
    <t>Rodrigues: Grotte Fougere, 30-60 cm, ROD-SF-pron-165</t>
  </si>
  <si>
    <t>pron-165</t>
  </si>
  <si>
    <t>Rodrigues: Grotte Fougere, 30-60 cm, ROD-SF-pron-166</t>
  </si>
  <si>
    <t>pron-166</t>
  </si>
  <si>
    <t>prosternum!</t>
  </si>
  <si>
    <t>Rodrigues: Grotte Fougere, 30-60 cm, ROD-SF-pron-167</t>
  </si>
  <si>
    <t>pron-167</t>
  </si>
  <si>
    <t>3.5x</t>
  </si>
  <si>
    <t>strongly punctured sp.</t>
  </si>
  <si>
    <t>Rodrigues: Grotte Fougere, 30-60 cm, ROD-SF-pron-168</t>
  </si>
  <si>
    <t>pron-168</t>
  </si>
  <si>
    <t>Rodrigues: Grotte Fougere, 30-60 cm, ROD-SF-pron-169</t>
  </si>
  <si>
    <t>pron-169</t>
  </si>
  <si>
    <t>Rodrigues: Grotte Fougere, 30-60 cm, ROD-SF-pron-170</t>
  </si>
  <si>
    <t>pron-170</t>
  </si>
  <si>
    <t>Rodrigues: Grotte Fougere, 30-60 cm, ROD-SF-pron-171</t>
  </si>
  <si>
    <t>pron-171</t>
  </si>
  <si>
    <t>Rodrigues: Grotte Fougere, 30-60 cm, ROD-SF-pron-172</t>
  </si>
  <si>
    <t>pron-172</t>
  </si>
  <si>
    <t>Rodrigues: Grotte Fougere, 30-60 cm, ROD-SF-pron-173</t>
  </si>
  <si>
    <t>pron-173</t>
  </si>
  <si>
    <t>Rodrigues: Grotte Fougere, 30-60 cm, ROD-SF-pron-174</t>
  </si>
  <si>
    <t>pron-174</t>
  </si>
  <si>
    <t>Rodrigues: Grotte Fougere, 30-60 cm, ROD-SF-pron-175</t>
  </si>
  <si>
    <t>pron-175</t>
  </si>
  <si>
    <t>triangle, with both legs; punctuation regular and homogeneous</t>
  </si>
  <si>
    <t>Rodrigues: Grotte Fougere, 30-60 cm, ROD-SF-pron-176</t>
  </si>
  <si>
    <t>pron-176</t>
  </si>
  <si>
    <t>Rodrigues: Grotte Fougere, 30-60 cm, ROD-SF-pron-177</t>
  </si>
  <si>
    <t>pron-177</t>
  </si>
  <si>
    <t>Rodrigues: Grotte Fougere, 30-60 cm, ROD-SF-pron-178</t>
  </si>
  <si>
    <t>pron-178</t>
  </si>
  <si>
    <t>Rodrigues: Grotte Fougere, 30-60 cm, ROD-SF-pron-179</t>
  </si>
  <si>
    <t>pron-179</t>
  </si>
  <si>
    <t>Rodrigues: Grotte Fougere, 30-60 cm, ROD-SF-pron-180</t>
  </si>
  <si>
    <t>pron-180</t>
  </si>
  <si>
    <t>Rodrigues: Grotte Fougere, 30-60 cm, ROD-SF-pron-181</t>
  </si>
  <si>
    <t>pron-181</t>
  </si>
  <si>
    <t>Rodrigues: Grotte Fougere, 30-60 cm, ROD-SF-pron-182</t>
  </si>
  <si>
    <t>pron-182</t>
  </si>
  <si>
    <t>Rodrigues: Grotte Fougere, 30-60 cm, ROD-SF-pron-183</t>
  </si>
  <si>
    <t>pron-183</t>
  </si>
  <si>
    <t>Rodrigues: Grotte Fougere, 30-60 cm, ROD-SF-pron-184</t>
  </si>
  <si>
    <t>pron-184</t>
  </si>
  <si>
    <t>Rodrigues: Grotte Fougere, 30-60 cm, ROD-SF-pron-185</t>
  </si>
  <si>
    <t>pron-185</t>
  </si>
  <si>
    <t>Rodrigues: Grotte Fougere, 30-60 cm, ROD-SF-pron-186</t>
  </si>
  <si>
    <t>pron-186</t>
  </si>
  <si>
    <t>Rodrigues: Grotte Fougere, 30-60 cm, ROD-SF-pron-187</t>
  </si>
  <si>
    <t>pron-187</t>
  </si>
  <si>
    <t>Rodrigues: Grotte Fougere, 30-60 cm, ROD-SF-pron-188</t>
  </si>
  <si>
    <t>pron-188</t>
  </si>
  <si>
    <t>pro/mesosternum</t>
  </si>
  <si>
    <t>Rodrigues: Grotte Fougere, 30-60 cm, ROD-SF-pron-189</t>
  </si>
  <si>
    <t>pron-189</t>
  </si>
  <si>
    <t>not dung beetle</t>
  </si>
  <si>
    <t>Rodrigues: Grotte Fougere, 30-60 cm, ROD-SF-pron-190</t>
  </si>
  <si>
    <t>pron-190</t>
  </si>
  <si>
    <t>Rodrigues: Grotte Fougere, 30-60 cm, ROD-SF-pron-191</t>
  </si>
  <si>
    <t>pron-191</t>
  </si>
  <si>
    <t>Rodrigues: Grotte Fougere, 30-60 cm, ROD-SF-pron-192</t>
  </si>
  <si>
    <t>pron-192</t>
  </si>
  <si>
    <t>Rodrigues: Grotte Fougere, 30-60 cm, ROD-SF-pron-193</t>
  </si>
  <si>
    <t>pron-193</t>
  </si>
  <si>
    <t>Rodrigues: Grotte Fougere, 30-60 cm, ROD-SF-pron-194</t>
  </si>
  <si>
    <t>pron-194</t>
  </si>
  <si>
    <t>Rodrigues: Grotte Fougere, 30-60 cm, ROD-SF-pron-195</t>
  </si>
  <si>
    <t>pron-195</t>
  </si>
  <si>
    <t>Rodrigues: Grotte Fougere, 30-60 cm, ROD-SF-pron-196</t>
  </si>
  <si>
    <t>pron-196</t>
  </si>
  <si>
    <t>Rodrigues: Grotte Fougere, 30-60 cm, ROD-SF-pron-197</t>
  </si>
  <si>
    <t>pron-197</t>
  </si>
  <si>
    <t>Rodrigues: Grotte Fougere, 30-60 cm, ROD-SF-pron-198</t>
  </si>
  <si>
    <t>pron-198</t>
  </si>
  <si>
    <t>Rodrigues: Grotte Fougere, 30-60 cm, ROD-SF-pron-199</t>
  </si>
  <si>
    <t>pron-199</t>
  </si>
  <si>
    <t>Rodrigues: Grotte Fougere, 30-60 cm, ROD-SF-pron-200</t>
  </si>
  <si>
    <t>pron-200</t>
  </si>
  <si>
    <t>Rodrigues: Grotte Fougere, 30-60 cm, ROD-SF-pron-201</t>
  </si>
  <si>
    <t>pron-201</t>
  </si>
  <si>
    <t>Rodrigues: Grotte Fougere, 30-60 cm, ROD-SF-pron-202</t>
  </si>
  <si>
    <t>pron-202</t>
  </si>
  <si>
    <t>Rodrigues: Grotte Fougere, 30-60 cm, ROD-SF-pron-203</t>
  </si>
  <si>
    <t>pron-203</t>
  </si>
  <si>
    <t>Rodrigues: Grotte Fougere, 30-60 cm, ROD-SF-pron-204</t>
  </si>
  <si>
    <t>pron-204</t>
  </si>
  <si>
    <t>Rodrigues: Grotte Fougere, 30-60 cm, ROD-SF-pron-205</t>
  </si>
  <si>
    <t>pron-205</t>
  </si>
  <si>
    <t>Rodrigues: Grotte Fougere, 30-60 cm, ROD-SF-pron-206</t>
  </si>
  <si>
    <t>pron-206</t>
  </si>
  <si>
    <t>Rodrigues: Grotte Fougere, 30-60 cm, ROD-SF-pron-207</t>
  </si>
  <si>
    <t>pron-207</t>
  </si>
  <si>
    <t>Rodrigues: Grotte Fougere, 30-60 cm, ROD-SF-pron-208</t>
  </si>
  <si>
    <t>pron-208</t>
  </si>
  <si>
    <t>Rodrigues: Grotte Fougere, 30-60 cm, ROD-SF-pron-209</t>
  </si>
  <si>
    <t>pron-209</t>
  </si>
  <si>
    <t>Rodrigues: Grotte Fougere, 30-60 cm, ROD-SF-pron-210</t>
  </si>
  <si>
    <t>pron-210</t>
  </si>
  <si>
    <t>Rodrigues: Grotte Fougere, 30-60 cm, ROD-SF-pron-211</t>
  </si>
  <si>
    <t>pron-211</t>
  </si>
  <si>
    <t>Rodrigues: Grotte Fougere, 30-60 cm, ROD-SF-pron-212</t>
  </si>
  <si>
    <t>pron-212</t>
  </si>
  <si>
    <t>Rodrigues: Grotte Fougere, 30-60 cm, ROD-SF-pron-213</t>
  </si>
  <si>
    <t>pron-213</t>
  </si>
  <si>
    <t>Rodrigues: Grotte Fougere, 30-60 cm, ROD-SF-pron-214</t>
  </si>
  <si>
    <t>pron-214</t>
  </si>
  <si>
    <t>Rodrigues: Grotte Fougere, 30-60 cm, ROD-SF-pron-215</t>
  </si>
  <si>
    <t>pron-215</t>
  </si>
  <si>
    <t>Rodrigues: Grotte Fougere, 30-60 cm, ROD-SF-pron-216</t>
  </si>
  <si>
    <t>pron-216</t>
  </si>
  <si>
    <t>Rodrigues: Grotte Fougere, 30-60 cm, ROD-SF-pron-217</t>
  </si>
  <si>
    <t>pron-217</t>
  </si>
  <si>
    <t>Rodrigues: Grotte Fougere, 30-60 cm, ROD-SF-pron-218</t>
  </si>
  <si>
    <t>pron-218</t>
  </si>
  <si>
    <t>Rodrigues: Grotte Fougere, 30-60 cm, ROD-SF-pron-219</t>
  </si>
  <si>
    <t>pron-219</t>
  </si>
  <si>
    <t>Rodrigues: Grotte Fougere, 30-60 cm, ROD-SF-pron-220</t>
  </si>
  <si>
    <t>pron-220</t>
  </si>
  <si>
    <t>Rodrigues: Grotte Fougere, 30-60 cm, ROD-SF-pron-221</t>
  </si>
  <si>
    <t>pron-221</t>
  </si>
  <si>
    <t>Rodrigues: Grotte Fougere, 30-60 cm, ROD-SF-pron-222</t>
  </si>
  <si>
    <t>pron-222</t>
  </si>
  <si>
    <t>Rodrigues: Grotte Fougere, 30-60 cm, ROD-SF-pron-223</t>
  </si>
  <si>
    <t>pron-223</t>
  </si>
  <si>
    <t>Rodrigues: Grotte Fougere, 30-60 cm, ROD-SF-pron-224</t>
  </si>
  <si>
    <t>pron-224</t>
  </si>
  <si>
    <t>Rodrigues: Grotte Fougere, 30-60 cm, ROD-SF-pron-225</t>
  </si>
  <si>
    <t>pron-225</t>
  </si>
  <si>
    <t>Rodrigues: Grotte Fougere, 30-60 cm, ROD-SF-pron-226</t>
  </si>
  <si>
    <t>pron-226</t>
  </si>
  <si>
    <t>Rodrigues: Grotte Fougere, 30-60 cm, ROD-SF-pron-227</t>
  </si>
  <si>
    <t>pron-227</t>
  </si>
  <si>
    <t>Rodrigues: Grotte Fougere, 30-60 cm, ROD-SF-pron-228</t>
  </si>
  <si>
    <t>pron-228</t>
  </si>
  <si>
    <t>Rodrigues: Grotte Fougere, 30-60 cm, ROD-SF-pron-229</t>
  </si>
  <si>
    <t>pron-229</t>
  </si>
  <si>
    <t>large procoxal cavities, but may not be a DB</t>
  </si>
  <si>
    <t>Rodrigues: Grotte Fougere, 30-60 cm, ROD-SF-head-137</t>
  </si>
  <si>
    <t>head-137</t>
  </si>
  <si>
    <t>Rodrigues: Grotte Fougere, 30-60 cm, ROD-SF-head-138</t>
  </si>
  <si>
    <t>head-138</t>
  </si>
  <si>
    <t>Rodrigues: Grotte Fougere, 30-60 cm, ROD-SF-head-139</t>
  </si>
  <si>
    <t>head-139</t>
  </si>
  <si>
    <t>Rodrigues: Grotte Fougere, 30-60 cm, ROD-SF-head-140</t>
  </si>
  <si>
    <t>head-140</t>
  </si>
  <si>
    <t>Rodrigues: Grotte Fougere, 30-60 cm, ROD-SF-head-141</t>
  </si>
  <si>
    <t>head-141</t>
  </si>
  <si>
    <t>Rodrigues: Grotte Fougere, 30-60 cm, ROD-SF-head-142</t>
  </si>
  <si>
    <t>head-142</t>
  </si>
  <si>
    <t>Rodrigues: Grotte Fougere, 30-60 cm, ROD-SF-head-143</t>
  </si>
  <si>
    <t>head-143</t>
  </si>
  <si>
    <t>Rodrigues: Grotte Fougere, 30-60 cm, ROD-SF-head-144</t>
  </si>
  <si>
    <t>head-144</t>
  </si>
  <si>
    <t>Rodrigues: Grotte Fougere, 30-60 cm, ROD-SF-head-145</t>
  </si>
  <si>
    <t>head-145</t>
  </si>
  <si>
    <t>Rodrigues: Grotte Fougere, 30-60 cm, ROD-SF-head-146</t>
  </si>
  <si>
    <t>head-146</t>
  </si>
  <si>
    <t>Rodrigues: Grotte Fougere, 30-60 cm, ROD-SF-head-147</t>
  </si>
  <si>
    <t>head-147</t>
  </si>
  <si>
    <t>Rodrigues: Grotte Fougere, 30-60 cm, ROD-SF-head-148</t>
  </si>
  <si>
    <t>head-148</t>
  </si>
  <si>
    <t>Rodrigues: Grotte Fougere, 30-60 cm, ROD-SF-head-149</t>
  </si>
  <si>
    <t>head-149</t>
  </si>
  <si>
    <t>Rodrigues: Grotte Fougere, 30-60 cm, ROD-SF-head-150</t>
  </si>
  <si>
    <t>head-150</t>
  </si>
  <si>
    <t>Rodrigues: Grotte Fougere, 30-60 cm, ROD-SF-head-151</t>
  </si>
  <si>
    <t>head-151</t>
  </si>
  <si>
    <t>Rodrigues: Grotte Fougere, 30-60 cm, ROD-SF-head-152</t>
  </si>
  <si>
    <t>head-152</t>
  </si>
  <si>
    <t>Rodrigues: Grotte Fougere, 30-60 cm, ROD-SF-head-153</t>
  </si>
  <si>
    <t>head-153</t>
  </si>
  <si>
    <t>not a dung beetle, maybe carabid</t>
  </si>
  <si>
    <t>Rodrigues: Grotte Fougere, 30-60 cm, ROD-SF-head-154</t>
  </si>
  <si>
    <t>head-154</t>
  </si>
  <si>
    <t>Rodrigues: Grotte Fougere, 30-60 cm, ROD-SF-head-155</t>
  </si>
  <si>
    <t>head-155</t>
  </si>
  <si>
    <t>Rodrigues: Grotte Fougere, 30-60 cm, ROD-SF-head-156</t>
  </si>
  <si>
    <t>head-156</t>
  </si>
  <si>
    <t>Rodrigues: Grotte Fougere, 30-60 cm, ROD-SF-head-157</t>
  </si>
  <si>
    <t>head-157</t>
  </si>
  <si>
    <t>Rodrigues: Grotte Fougere, 30-60 cm, ROD-SF-head-158</t>
  </si>
  <si>
    <t>head-158</t>
  </si>
  <si>
    <t>Rodrigues: Grotte Fougere, 30-60 cm, ROD-SF-head-159</t>
  </si>
  <si>
    <t>head-159</t>
  </si>
  <si>
    <t>Rodrigues: Grotte Fougere, 30-60 cm, ROD-SF-head-160</t>
  </si>
  <si>
    <t>head-160</t>
  </si>
  <si>
    <t>Rodrigues: Grotte Fougere, 30-60 cm, ROD-SF-head-161</t>
  </si>
  <si>
    <t>head-161</t>
  </si>
  <si>
    <t>Rodrigues: Grotte Fougere, 30-60 cm, ROD-SF-head-162</t>
  </si>
  <si>
    <t>head-162</t>
  </si>
  <si>
    <t>Rodrigues: Grotte Fougere, 30-60 cm, ROD-SF-head-163</t>
  </si>
  <si>
    <t>head-163</t>
  </si>
  <si>
    <t>Rodrigues: Grotte Fougere, 30-60 cm, ROD-SF-head-164</t>
  </si>
  <si>
    <t>head-164</t>
  </si>
  <si>
    <t>Rodrigues: Grotte Fougere, 30-60 cm, ROD-SF-head-165</t>
  </si>
  <si>
    <t>head-165</t>
  </si>
  <si>
    <t>Rodrigues: Grotte Fougere, 30-60 cm, ROD-SF-head-166</t>
  </si>
  <si>
    <t>head-166</t>
  </si>
  <si>
    <t>Rodrigues: Grotte Fougere, 30-60 cm, ROD-SF-head-167</t>
  </si>
  <si>
    <t>head-167</t>
  </si>
  <si>
    <t>Rodrigues: Grotte Fougere, 30-60 cm, ROD-SF-head-168</t>
  </si>
  <si>
    <t>head-168</t>
  </si>
  <si>
    <t>Rodrigues: Grotte Fougere, 30-60 cm, ROD-SF-head-169</t>
  </si>
  <si>
    <t>head-169</t>
  </si>
  <si>
    <t>Rodrigues: Grotte Fougere, 30-60 cm, ROD-SF-head-170</t>
  </si>
  <si>
    <t>head-170</t>
  </si>
  <si>
    <t>Rodrigues: Grotte Fougere, 30-60 cm, ROD-SF-head-171</t>
  </si>
  <si>
    <t>head-171</t>
  </si>
  <si>
    <t>Rodrigues: Grotte Fougere, 30-60 cm, ROD-SF-head-172</t>
  </si>
  <si>
    <t>head-172</t>
  </si>
  <si>
    <t>Rodrigues: Grotte Fougere, 30-60 cm, ROD-SF-head-173</t>
  </si>
  <si>
    <t>head-173</t>
  </si>
  <si>
    <t>Rodrigues: Grotte Fougere, 30-60 cm, ROD-SF-head-174</t>
  </si>
  <si>
    <t>head-174</t>
  </si>
  <si>
    <t>Rodrigues: Grotte Fougere, 30-60 cm, ROD-SF-head-175</t>
  </si>
  <si>
    <t>head-175</t>
  </si>
  <si>
    <t>Rodrigues: Grotte Fougere, 30-60 cm, ROD-SF-head-176</t>
  </si>
  <si>
    <t>head-176</t>
  </si>
  <si>
    <t>has mandibles!!!</t>
  </si>
  <si>
    <t>Rodrigues: Grotte Fougere, 30-60 cm, ROD-SF-head-177</t>
  </si>
  <si>
    <t>head-177</t>
  </si>
  <si>
    <t>Rodrigues: Grotte Fougere, 30-60 cm, ROD-SF-head-178</t>
  </si>
  <si>
    <t>head-178</t>
  </si>
  <si>
    <t>Rodrigues: Grotte Fougere, 30-60 cm, ROD-SF-head-179</t>
  </si>
  <si>
    <t>head-179</t>
  </si>
  <si>
    <t>Rodrigues: Grotte Fougere, 30-60 cm, ROD-SF-head-180</t>
  </si>
  <si>
    <t>head-180</t>
  </si>
  <si>
    <t>Rodrigues: Grotte Fougere, 30-60 cm, ROD-SF-head-181</t>
  </si>
  <si>
    <t>head-181</t>
  </si>
  <si>
    <t>Rodrigues: Grotte Fougere, 30-60 cm, ROD-SF-head-182</t>
  </si>
  <si>
    <t>head-182</t>
  </si>
  <si>
    <t>Rodrigues: Grotte Fougere, 30-60 cm, ROD-SF-head-183</t>
  </si>
  <si>
    <t>head-183</t>
  </si>
  <si>
    <t>Rodrigues: Grotte Fougere, 30-60 cm, ROD-SF-head-184</t>
  </si>
  <si>
    <t>head-184</t>
  </si>
  <si>
    <t>Rodrigues: Grotte Fougere, 30-60 cm, ROD-SF-head-185</t>
  </si>
  <si>
    <t>head-185</t>
  </si>
  <si>
    <t>Rodrigues: Grotte Fougere, 30-60 cm, ROD-SF-head-186</t>
  </si>
  <si>
    <t>head-186</t>
  </si>
  <si>
    <t>Rodrigues: Grotte Fougere, 30-60 cm, ROD-SF-head-187</t>
  </si>
  <si>
    <t>head-187</t>
  </si>
  <si>
    <t>Rodrigues: Grotte Fougere, 30-60 cm, ROD-SF-head-188</t>
  </si>
  <si>
    <t>head-188</t>
  </si>
  <si>
    <t>Rodrigues: Grotte Fougere, 30-60 cm, ROD-SF-head-189</t>
  </si>
  <si>
    <t>head-189</t>
  </si>
  <si>
    <t>Rodrigues: Grotte Fougere, 30-60 cm, ROD-SF-head-190</t>
  </si>
  <si>
    <t>head-190</t>
  </si>
  <si>
    <t>Rodrigues: Grotte Fougere, 30-60 cm, ROD-SF-head-191</t>
  </si>
  <si>
    <t>head-191</t>
  </si>
  <si>
    <t>Rodrigues: Grotte Fougere, 30-60 cm, ROD-SF-head-192</t>
  </si>
  <si>
    <t>head-192</t>
  </si>
  <si>
    <t>Rodrigues: Grotte Fougere, 30-60 cm, ROD-SF-head-193</t>
  </si>
  <si>
    <t>head-193</t>
  </si>
  <si>
    <t>Rodrigues: Grotte Fougere, 30-60 cm, ROD-SF-head-194</t>
  </si>
  <si>
    <t>head-194</t>
  </si>
  <si>
    <t>Rodrigues: Grotte Fougere, 30-60 cm, ROD-SF-head-195</t>
  </si>
  <si>
    <t>head-195</t>
  </si>
  <si>
    <t>Rodrigues: Grotte Fougere, 30-60 cm, ROD-SF-head-196</t>
  </si>
  <si>
    <t>head-196</t>
  </si>
  <si>
    <t>Rodrigues: Grotte Fougere, 30-60 cm, ROD-SF-head-197</t>
  </si>
  <si>
    <t>head-197</t>
  </si>
  <si>
    <t>Rodrigues: Grotte Fougere, 30-60 cm, ROD-SF-head-198</t>
  </si>
  <si>
    <t>head-198</t>
  </si>
  <si>
    <t>Rodrigues: Grotte Fougere, 30-60 cm, ROD-SF-head-199</t>
  </si>
  <si>
    <t>head-199</t>
  </si>
  <si>
    <t>Rodrigues: Grotte Fougere, 30-60 cm, ROD-SF-head-200</t>
  </si>
  <si>
    <t>head-200</t>
  </si>
  <si>
    <t>Rodrigues: Grotte Fougere, 30-60 cm, ROD-SF-head-201</t>
  </si>
  <si>
    <t>head-201</t>
  </si>
  <si>
    <t>Rodrigues: Grotte Fougere, 30-60 cm, ROD-SF-head-202</t>
  </si>
  <si>
    <t>head-202</t>
  </si>
  <si>
    <t>Rodrigues: Grotte Fougere, 30-60 cm, ROD-SF-head-203</t>
  </si>
  <si>
    <t>head-203</t>
  </si>
  <si>
    <t>Rodrigues: Grotte Fougere, 30-60 cm, ROD-SF-head-204</t>
  </si>
  <si>
    <t>head-204</t>
  </si>
  <si>
    <t>Rodrigues: Grotte Fougere, 30-60 cm, ROD-SF-head-205</t>
  </si>
  <si>
    <t>head-205</t>
  </si>
  <si>
    <t>Rodrigues: Grotte Fougere, 30-60 cm, ROD-SF-head-206</t>
  </si>
  <si>
    <t>head-206</t>
  </si>
  <si>
    <t>Rodrigues: Grotte Fougere, 30-60 cm, ROD-SF-head-207</t>
  </si>
  <si>
    <t>head-207</t>
  </si>
  <si>
    <t>Rodrigues: Grotte Fougere, 30-60 cm, ROD-SF-head-208</t>
  </si>
  <si>
    <t>head-208</t>
  </si>
  <si>
    <t>Rodrigues: Grotte Fougere, 30-60 cm, ROD-SF-head-209</t>
  </si>
  <si>
    <t>head-209</t>
  </si>
  <si>
    <t>Rodrigues: Grotte Fougere, 30-60 cm, ROD-SF-head-210</t>
  </si>
  <si>
    <t>head-210</t>
  </si>
  <si>
    <t>Rodrigues: Grotte Fougere, 30-60 cm, ROD-SF-head-211</t>
  </si>
  <si>
    <t>head-211</t>
  </si>
  <si>
    <t>Rodrigues: Grotte Fougere, 30-60 cm, ROD-SF-head-212</t>
  </si>
  <si>
    <t>head-212</t>
  </si>
  <si>
    <t>Rodrigues: Grotte Fougere, 30-60 cm, ROD-SF-head-213</t>
  </si>
  <si>
    <t>head-213</t>
  </si>
  <si>
    <t>Rodrigues: Grotte Fougere, 30-60 cm, ROD-SF-head-214</t>
  </si>
  <si>
    <t>head-214</t>
  </si>
  <si>
    <t>Rodrigues: Grotte Fougere, 30-60 cm, ROD-SF-head-215</t>
  </si>
  <si>
    <t>head-215</t>
  </si>
  <si>
    <t>Rodrigues: Grotte Fougere, 30-60 cm, ROD-SF-head-216</t>
  </si>
  <si>
    <t>head-216</t>
  </si>
  <si>
    <t>Rodrigues: Grotte Fougere, 30-60 cm, ROD-SF-head-217</t>
  </si>
  <si>
    <t>head-217</t>
  </si>
  <si>
    <t>Rodrigues: Grotte Fougere, 30-60 cm, ROD-SF-head-218</t>
  </si>
  <si>
    <t>head-218</t>
  </si>
  <si>
    <t>Rodrigues: Grotte Fougere, 30-60 cm, ROD-SF-head-219</t>
  </si>
  <si>
    <t>head-219</t>
  </si>
  <si>
    <t>Rodrigues: Grotte Fougere, 30-60 cm, ROD-SF-head-220</t>
  </si>
  <si>
    <t>head-220</t>
  </si>
  <si>
    <t>Rodrigues: Grotte Fougere, 30-60 cm, ROD-SF-head-221</t>
  </si>
  <si>
    <t>head-221</t>
  </si>
  <si>
    <t>Rodrigues: Grotte Fougere, 30-60 cm, ROD-SF-head-222</t>
  </si>
  <si>
    <t>head-222</t>
  </si>
  <si>
    <t>Rodrigues: Grotte Fougere, 30-60 cm, ROD-SF-head-223</t>
  </si>
  <si>
    <t>head-223</t>
  </si>
  <si>
    <t>Rodrigues: Grotte Fougere, 30-60 cm, ROD-SF-head-224</t>
  </si>
  <si>
    <t>head-224</t>
  </si>
  <si>
    <t>Rodrigues: Grotte Fougere, 30-60 cm, ROD-SF-head-225</t>
  </si>
  <si>
    <t>head-225</t>
  </si>
  <si>
    <t>Rodrigues: Grotte Fougere, 30-60 cm, ROD-SF-head-226</t>
  </si>
  <si>
    <t>head-226</t>
  </si>
  <si>
    <t>Rodrigues: Grotte Fougere, 30-60 cm, ROD-SF-head-227</t>
  </si>
  <si>
    <t>head-227</t>
  </si>
  <si>
    <t>Rodrigues: Grotte Fougere, 30-60 cm, ROD-SF-head-228</t>
  </si>
  <si>
    <t>head-228</t>
  </si>
  <si>
    <t>Rodrigues: Grotte Fougere, 30-60 cm, ROD-SF-head-229</t>
  </si>
  <si>
    <t>head-229</t>
  </si>
  <si>
    <t>Rodrigues: Grotte Fougere, 30-60 cm, ROD-SF-head-230</t>
  </si>
  <si>
    <t>head-230</t>
  </si>
  <si>
    <t>Rodrigues: Grotte Fougere, 30-60 cm, ROD-SF-head-231</t>
  </si>
  <si>
    <t>head-231</t>
  </si>
  <si>
    <t>Rodrigues: Grotte Fougere, 30-60 cm, ROD-SF-head-232</t>
  </si>
  <si>
    <t>head-232</t>
  </si>
  <si>
    <t>Rodrigues: Grotte Fougere, 30-60 cm, ROD-SF-head-233</t>
  </si>
  <si>
    <t>head-233</t>
  </si>
  <si>
    <t>Rodrigues: Grotte Fougere, 30-60 cm, ROD-SF-head-234</t>
  </si>
  <si>
    <t>head-234</t>
  </si>
  <si>
    <t>Rodrigues: Grotte Fougere, 30-60 cm, ROD-SF-head-235</t>
  </si>
  <si>
    <t>head-235</t>
  </si>
  <si>
    <t>Rodrigues: Grotte Fougere, 30-60 cm, ROD-SF-head-236</t>
  </si>
  <si>
    <t>head-236</t>
  </si>
  <si>
    <t>Rodrigues: Grotte Fougere, 30-60 cm, ROD-SF-head-237</t>
  </si>
  <si>
    <t>head-237</t>
  </si>
  <si>
    <t>Rodrigues: Grotte Fougere, 30-60 cm, ROD-SF-head-238</t>
  </si>
  <si>
    <t>head-238</t>
  </si>
  <si>
    <t>Rodrigues: Grotte Fougere, 30-60 cm, ROD-SF-head-239</t>
  </si>
  <si>
    <t>head-239</t>
  </si>
  <si>
    <t>Rodrigues: Grotte Fougere, 30-60 cm, ROD-SF-head-240</t>
  </si>
  <si>
    <t>head-240</t>
  </si>
  <si>
    <t>Rodrigues: Grotte Fougere, 30-60 cm, ROD-SF-head-241</t>
  </si>
  <si>
    <t>head-241</t>
  </si>
  <si>
    <t>Rodrigues: Grotte Fougere, 30-60 cm, ROD-SF-head-242</t>
  </si>
  <si>
    <t>head-242</t>
  </si>
  <si>
    <t>Rodrigues: Grotte Fougere, 30-60 cm, ROD-SF-head-243</t>
  </si>
  <si>
    <t>head-243</t>
  </si>
  <si>
    <t>Rodrigues: Grotte Fougere, 30-60 cm, ROD-SF-head-244</t>
  </si>
  <si>
    <t>head-244</t>
  </si>
  <si>
    <t>Rodrigues: Grotte Fougere, 30-60 cm, ROD-SF-head-245</t>
  </si>
  <si>
    <t>head-245</t>
  </si>
  <si>
    <t>Rodrigues: Grotte Fougere, 30-60 cm, ROD-SF-head-246</t>
  </si>
  <si>
    <t>head-246</t>
  </si>
  <si>
    <t>Rodrigues: Grotte Fougere, 30-60 cm, ROD-SF-head-247</t>
  </si>
  <si>
    <t>head-247</t>
  </si>
  <si>
    <t>Rodrigues: Grotte Fougere, 30-60 cm, ROD-SF-head-248</t>
  </si>
  <si>
    <t>head-248</t>
  </si>
  <si>
    <t>Rodrigues: Grotte Fougere, 30-60 cm, ROD-SF-head-249</t>
  </si>
  <si>
    <t>head-249</t>
  </si>
  <si>
    <t>Rodrigues: Grotte Fougere, 30-60 cm, ROD-SF-head-250</t>
  </si>
  <si>
    <t>head-250</t>
  </si>
  <si>
    <t>Rodrigues: Grotte Fougere, 30-60 cm, ROD-SF-head-251</t>
  </si>
  <si>
    <t>head-251</t>
  </si>
  <si>
    <t>Rodrigues: Grotte Fougere, 30-60 cm, ROD-SF-head-252</t>
  </si>
  <si>
    <t>head-252</t>
  </si>
  <si>
    <t>Rodrigues: Grotte Fougere, 30-60 cm, ROD-SF-head-253</t>
  </si>
  <si>
    <t>head-253</t>
  </si>
  <si>
    <t>Rodrigues: Grotte Fougere, 30-60 cm, ROD-SF-head-254</t>
  </si>
  <si>
    <t>head-254</t>
  </si>
  <si>
    <t>Rodrigues: Grotte Fougere, 30-60 cm, ROD-SF-head-255</t>
  </si>
  <si>
    <t>head-255</t>
  </si>
  <si>
    <t>Rodrigues: Grotte Fougere, 30-60 cm, ROD-SF-head-256</t>
  </si>
  <si>
    <t>head-256</t>
  </si>
  <si>
    <t>Rodrigues: Grotte Fougere, 30-60 cm, ROD-SF-head-257</t>
  </si>
  <si>
    <t>head-257</t>
  </si>
  <si>
    <t>Rodrigues: Grotte Fougere, 30-60 cm, ROD-SF-head-258</t>
  </si>
  <si>
    <t>head-258</t>
  </si>
  <si>
    <t>Rodrigues: Grotte Fougere, 30-60 cm, ROD-SF-head-259</t>
  </si>
  <si>
    <t>head-259</t>
  </si>
  <si>
    <t>Rodrigues: Grotte Fougere, 30-60 cm, ROD-SF-head-260</t>
  </si>
  <si>
    <t>head-260</t>
  </si>
  <si>
    <t>Rodrigues: Grotte Fougere, 30-60 cm, ROD-SF-head-261</t>
  </si>
  <si>
    <t>head-261</t>
  </si>
  <si>
    <t>Rodrigues: Grotte Fougere, 30-60 cm, ROD-SF-head-262</t>
  </si>
  <si>
    <t>head-262</t>
  </si>
  <si>
    <t>Rodrigues: Grotte Fougere, 30-60 cm, ROD-SF-head-263</t>
  </si>
  <si>
    <t>head-263</t>
  </si>
  <si>
    <t>Rodrigues: Grotte Fougere, 30-60 cm, ROD-SF-head-264</t>
  </si>
  <si>
    <t>head-264</t>
  </si>
  <si>
    <t>Rodrigues: Grotte Fougere, 30-60 cm, ROD-SF-head-265</t>
  </si>
  <si>
    <t>head-265</t>
  </si>
  <si>
    <t>Rodrigues: Grotte Fougere, 30-60 cm, ROD-SF-head-266</t>
  </si>
  <si>
    <t>head-266</t>
  </si>
  <si>
    <t>Rodrigues: Grotte Fougere, 30-60 cm, ROD-SF-head-267</t>
  </si>
  <si>
    <t>head-267</t>
  </si>
  <si>
    <t>Rodrigues: Grotte Fougere, 30-60 cm, ROD-SF-head-268</t>
  </si>
  <si>
    <t>head-268</t>
  </si>
  <si>
    <t>Rodrigues: Grotte Fougere, 30-60 cm, ROD-SF-head-269</t>
  </si>
  <si>
    <t>head-269</t>
  </si>
  <si>
    <t>Rodrigues: Grotte Fougere, 30-60 cm, ROD-SF-head-270</t>
  </si>
  <si>
    <t>head-270</t>
  </si>
  <si>
    <t>Rodrigues: Grotte Fougere, 30-60 cm, ROD-SF-head-271</t>
  </si>
  <si>
    <t>head-271</t>
  </si>
  <si>
    <t>Rodrigues: Grotte Fougere, 30-60 cm, ROD-SF-head-272</t>
  </si>
  <si>
    <t>head-272</t>
  </si>
  <si>
    <t>Rodrigues: Grotte Fougere, 30-60 cm, ROD-SF-head-273</t>
  </si>
  <si>
    <t>head-273</t>
  </si>
  <si>
    <t>Rodrigues: Grotte Fougere, 30-60 cm, ROD-SF-head-274</t>
  </si>
  <si>
    <t>head-274</t>
  </si>
  <si>
    <t>Rodrigues: Grotte Fougere, 30-60 cm, ROD-SF-head-275</t>
  </si>
  <si>
    <t>head-275</t>
  </si>
  <si>
    <t>Rodrigues: Grotte Fougere, 30-60 cm, ROD-SF-head-276</t>
  </si>
  <si>
    <t>head-276</t>
  </si>
  <si>
    <t>Rodrigues: Grotte Fougere, 30-60 cm, ROD-SF-head-277</t>
  </si>
  <si>
    <t>head-277</t>
  </si>
  <si>
    <t>Rodrigues: Grotte Fougere, 30-60 cm, ROD-SF-head-278</t>
  </si>
  <si>
    <t>head-278</t>
  </si>
  <si>
    <t>Rodrigues: Grotte Fougere, 30-60 cm, ROD-SF-head-279</t>
  </si>
  <si>
    <t>head-279</t>
  </si>
  <si>
    <t>Rodrigues: Grotte Fougere, 30-60 cm, ROD-SF-head-280</t>
  </si>
  <si>
    <t>head-280</t>
  </si>
  <si>
    <t>Rodrigues: Grotte Fougere, 30-60 cm, ROD-SF-head-281</t>
  </si>
  <si>
    <t>head-281</t>
  </si>
  <si>
    <t>Rodrigues: Grotte Fougere, 30-60 cm, ROD-SF-head-282</t>
  </si>
  <si>
    <t>head-282</t>
  </si>
  <si>
    <t>Rodrigues: Grotte Fougere, 30-60 cm, ROD-SF-head-283</t>
  </si>
  <si>
    <t>head-283</t>
  </si>
  <si>
    <t>Rodrigues: Grotte Fougere, 30-60 cm, ROD-SF-head-284</t>
  </si>
  <si>
    <t>head-284</t>
  </si>
  <si>
    <t>Rodrigues: Grotte Fougere, 30-60 cm, ROD-SF-head-285</t>
  </si>
  <si>
    <t>head-285</t>
  </si>
  <si>
    <t>Rodrigues: Grotte Fougere, 30-60 cm, ROD-SF-head-286</t>
  </si>
  <si>
    <t>head-286</t>
  </si>
  <si>
    <t>Rodrigues: Grotte Fougere, 30-60 cm, ROD-SF-head-287</t>
  </si>
  <si>
    <t>head-287</t>
  </si>
  <si>
    <t>Rodrigues: Grotte Fougere, 30-60 cm, ROD-SF-head-288</t>
  </si>
  <si>
    <t>head-288</t>
  </si>
  <si>
    <t>Rodrigues: Grotte Fougere, 30-60 cm, ROD-SF-head-289</t>
  </si>
  <si>
    <t>head-289</t>
  </si>
  <si>
    <t>Rodrigues: Grotte Fougere, 30-60 cm, ROD-SF-head-290</t>
  </si>
  <si>
    <t>head-290</t>
  </si>
  <si>
    <t>Rodrigues: Grotte Fougere, 30-60 cm, ROD-SF-head-291</t>
  </si>
  <si>
    <t>head-291</t>
  </si>
  <si>
    <t>Rodrigues: Grotte Fougere, 30-60 cm, ROD-SF-head-292</t>
  </si>
  <si>
    <t>head-292</t>
  </si>
  <si>
    <t>Rodrigues: Grotte Fougere, 30-60 cm, ROD-SF-head-293</t>
  </si>
  <si>
    <t>head-293</t>
  </si>
  <si>
    <t>Rodrigues: Grotte Fougere, 30-60 cm, ROD-SF-head-294</t>
  </si>
  <si>
    <t>head-294</t>
  </si>
  <si>
    <t>Rodrigues: Grotte Fougere, 30-60 cm, ROD-SF-head-295</t>
  </si>
  <si>
    <t>head-295</t>
  </si>
  <si>
    <t>Rodrigues: Grotte Fougere, 30-60 cm, ROD-SF-head-296</t>
  </si>
  <si>
    <t>head-296</t>
  </si>
  <si>
    <t>Rodrigues: Grotte Fougere, 30-60 cm, ROD-SF-head-297</t>
  </si>
  <si>
    <t>head-297</t>
  </si>
  <si>
    <t>Rodrigues: Grotte Fougere, 30-60 cm, ROD-SF-head-298</t>
  </si>
  <si>
    <t>head-298</t>
  </si>
  <si>
    <t>Rodrigues: Grotte Fougere, 30-60 cm, ROD-SF-head-299</t>
  </si>
  <si>
    <t>head-299</t>
  </si>
  <si>
    <t>Rodrigues: Grotte Fougere, 30-60 cm, ROD-SF-head-300</t>
  </si>
  <si>
    <t>head-300</t>
  </si>
  <si>
    <t>Rodrigues: Grotte Fougere, 30-60 cm, ROD-SF-head-301</t>
  </si>
  <si>
    <t>head-301</t>
  </si>
  <si>
    <t>Rodrigues: Grotte Fougere, 30-60 cm, ROD-SF-head-302</t>
  </si>
  <si>
    <t>head-302</t>
  </si>
  <si>
    <t>Rodrigues: Grotte Fougere, 30-60 cm, ROD-SF-head-303</t>
  </si>
  <si>
    <t>head-303</t>
  </si>
  <si>
    <t>Rodrigues: Grotte Fougere, 30-60 cm, ROD-SF-head-304</t>
  </si>
  <si>
    <t>head-304</t>
  </si>
  <si>
    <t>Rodrigues: Grotte Fougere, 30-60 cm, ROD-SF-head-305</t>
  </si>
  <si>
    <t>head-305</t>
  </si>
  <si>
    <t>Rodrigues: Grotte Fougere, 30-60 cm, ROD-SF-head-306</t>
  </si>
  <si>
    <t>head-306</t>
  </si>
  <si>
    <t>Rodrigues: Grotte Fougere, 30-60 cm, ROD-SF-head-307</t>
  </si>
  <si>
    <t>head-307</t>
  </si>
  <si>
    <t>Rodrigues: Grotte Fougere, 30-60 cm, ROD-SF-head-308</t>
  </si>
  <si>
    <t>head-308</t>
  </si>
  <si>
    <t>Rodrigues: Grotte Fougere, 30-60 cm, ROD-SF-head-309</t>
  </si>
  <si>
    <t>head-309</t>
  </si>
  <si>
    <t>Rodrigues: Grotte Fougere, 30-60 cm, ROD-SF-head-310</t>
  </si>
  <si>
    <t>head-310</t>
  </si>
  <si>
    <t>Rodrigues: Grotte Fougere, 30-60 cm, ROD-SF-head-311</t>
  </si>
  <si>
    <t>head-311</t>
  </si>
  <si>
    <t>Rodrigues: Grotte Fougere, 30-60 cm, ROD-SF-head-312</t>
  </si>
  <si>
    <t>head-312</t>
  </si>
  <si>
    <t>Rodrigues: Grotte Fougere, 30-60 cm, ROD-SF-head-313</t>
  </si>
  <si>
    <t>head-313</t>
  </si>
  <si>
    <t>Rodrigues: Grotte Fougere, 30-60 cm, ROD-SF-head-314</t>
  </si>
  <si>
    <t>head-314</t>
  </si>
  <si>
    <t>Rodrigues: Grotte Fougere, 30-60 cm, ROD-SF-head-315</t>
  </si>
  <si>
    <t>head-315</t>
  </si>
  <si>
    <t>Rodrigues: Grotte Fougere, 30-60 cm, ROD-SF-head-316</t>
  </si>
  <si>
    <t>head-316</t>
  </si>
  <si>
    <t>Rodrigues: Grotte Fougere, 30-60 cm, ROD-SF-head-317</t>
  </si>
  <si>
    <t>head-317</t>
  </si>
  <si>
    <t>Rodrigues: Grotte Fougere, 30-60 cm, ROD-SF-head-318</t>
  </si>
  <si>
    <t>head-318</t>
  </si>
  <si>
    <t>Rodrigues: Grotte Fougere, 30-60 cm, ROD-SF-head-319</t>
  </si>
  <si>
    <t>head-319</t>
  </si>
  <si>
    <t>has epipharynx and mandibles</t>
  </si>
  <si>
    <t>Rodrigues: Grotte Fougere, 30-60 cm, ROD-SF-head-320</t>
  </si>
  <si>
    <t>head-320</t>
  </si>
  <si>
    <t>Rodrigues: Grotte Fougere, 30-60 cm, ROD-SF-head-321</t>
  </si>
  <si>
    <t>head-321</t>
  </si>
  <si>
    <t>Rodrigues: Grotte Fougere, 30-60 cm, ROD-SF-head-322</t>
  </si>
  <si>
    <t>head-322</t>
  </si>
  <si>
    <t>Rodrigues: Grotte Fougere, 30-60 cm, ROD-SF-head-323</t>
  </si>
  <si>
    <t>head-323</t>
  </si>
  <si>
    <t>Rodrigues: Grotte Fougere, 30-60 cm, ROD-SF-head-324</t>
  </si>
  <si>
    <t>head-324</t>
  </si>
  <si>
    <t>Rodrigues: Grotte Fougere, 30-60 cm, ROD-SF-head-325</t>
  </si>
  <si>
    <t>head-325</t>
  </si>
  <si>
    <t>Rodrigues: Grotte Fougere, 30-60 cm, ROD-SF-head-326</t>
  </si>
  <si>
    <t>head-326</t>
  </si>
  <si>
    <t>Rodrigues: Grotte Fougere, 30-60 cm, ROD-SF-head-327</t>
  </si>
  <si>
    <t>head-327</t>
  </si>
  <si>
    <t>Rodrigues: Grotte Fougere, 30-60 cm, ROD-SF-head-328</t>
  </si>
  <si>
    <t>head-328</t>
  </si>
  <si>
    <t>Rodrigues: Grotte Fougere, 30-60 cm, ROD-SF-head-329</t>
  </si>
  <si>
    <t>head-329</t>
  </si>
  <si>
    <t>Rodrigues: Grotte Fougere, 30-60 cm, ROD-SF-head-330</t>
  </si>
  <si>
    <t>head-330</t>
  </si>
  <si>
    <t>Rodrigues: Grotte Fougere, 30-60 cm, ROD-SF-head-331</t>
  </si>
  <si>
    <t>head-331</t>
  </si>
  <si>
    <t>Rodrigues: Grotte Fougere, 30-60 cm, ROD-SF-head-332</t>
  </si>
  <si>
    <t>head-332</t>
  </si>
  <si>
    <t>Rodrigues: Grotte Fougere, 30-60 cm, ROD-SF-head-333</t>
  </si>
  <si>
    <t>head-333</t>
  </si>
  <si>
    <t>Rodrigues: Grotte Fougere, 30-60 cm, ROD-SF-head-334</t>
  </si>
  <si>
    <t>head-334</t>
  </si>
  <si>
    <t>Rodrigues: Grotte Fougere, 30-60 cm, ROD-SF-head-335</t>
  </si>
  <si>
    <t>head-335</t>
  </si>
  <si>
    <t>Rodrigues: Grotte Fougere, 30-60 cm, ROD-SF-head-336</t>
  </si>
  <si>
    <t>head-336</t>
  </si>
  <si>
    <t>Rodrigues: Grotte Fougere, 30-60 cm, ROD-SF-head-337</t>
  </si>
  <si>
    <t>head-337</t>
  </si>
  <si>
    <t>Rodrigues: Grotte Fougere, 30-60 cm, ROD-SF-head-338</t>
  </si>
  <si>
    <t>head-338</t>
  </si>
  <si>
    <t>Rodrigues: Grotte Fougere, 30-60 cm, ROD-SF-head-339</t>
  </si>
  <si>
    <t>head-339</t>
  </si>
  <si>
    <t>Rodrigues: Grotte Fougere, 30-60 cm, ROD-SF-head-340</t>
  </si>
  <si>
    <t>head-340</t>
  </si>
  <si>
    <t>Rodrigues: Grotte Fougere, 30-60 cm, ROD-SF-head-341</t>
  </si>
  <si>
    <t>head-341</t>
  </si>
  <si>
    <t>Rodrigues: Grotte Fougere, 30-60 cm, ROD-SF-head-342</t>
  </si>
  <si>
    <t>head-342</t>
  </si>
  <si>
    <t>Rodrigues: Grotte Fougere, 30-60 cm, ROD-SF-head-343</t>
  </si>
  <si>
    <t>head-343</t>
  </si>
  <si>
    <t>Rodrigues: Grotte Fougere, 30-60 cm, ROD-SF-metast-45</t>
  </si>
  <si>
    <t>metast-45</t>
  </si>
  <si>
    <t>Rodrigues: Grotte Fougere, 30-60 cm, ROD-SF-metast-46</t>
  </si>
  <si>
    <t>metast-46</t>
  </si>
  <si>
    <t>Rodrigues: Grotte Fougere, 30-60 cm, ROD-SF-metast-47</t>
  </si>
  <si>
    <t>metast-47</t>
  </si>
  <si>
    <t>Rodrigues: Grotte Fougere, 30-60 cm, ROD-SF-metast-48</t>
  </si>
  <si>
    <t>metast-48</t>
  </si>
  <si>
    <t>Rodrigues: Grotte Fougere, 30-60 cm, ROD-SF-metast-49</t>
  </si>
  <si>
    <t>metast-49</t>
  </si>
  <si>
    <t>Rodrigues: Grotte Fougere, 30-60 cm, ROD-SF-metast-50</t>
  </si>
  <si>
    <t>metast-50</t>
  </si>
  <si>
    <t>Rodrigues: Grotte Fougere, 30-60 cm, ROD-SF-metast-51</t>
  </si>
  <si>
    <t>metast-51</t>
  </si>
  <si>
    <t>Rodrigues: Grotte Fougere, 30-60 cm, ROD-SF-metast-52</t>
  </si>
  <si>
    <t>metast-52</t>
  </si>
  <si>
    <t>Rodrigues: Grotte Fougere, 30-60 cm, ROD-SF-metast-53</t>
  </si>
  <si>
    <t>metast-53</t>
  </si>
  <si>
    <t>Rodrigues: Grotte Fougere, 30-60 cm, ROD-SF-metast-54</t>
  </si>
  <si>
    <t>metast-54</t>
  </si>
  <si>
    <t>Rodrigues: Grotte Fougere, 30-60 cm, ROD-SF-metast-55</t>
  </si>
  <si>
    <t>metast-55</t>
  </si>
  <si>
    <t>Rodrigues: Grotte Fougere, 30-60 cm, ROD-SF-metast-56</t>
  </si>
  <si>
    <t>metast-56</t>
  </si>
  <si>
    <t>Rodrigues: Grotte Fougere, 30-60 cm, ROD-SF-metast-57</t>
  </si>
  <si>
    <t>metast-57</t>
  </si>
  <si>
    <t>Rodrigues: Grotte Fougere, 30-60 cm, ROD-SF-metast-58</t>
  </si>
  <si>
    <t>metast-58</t>
  </si>
  <si>
    <t>Rodrigues: Grotte Fougere, 30-60 cm, ROD-SF-metast-59</t>
  </si>
  <si>
    <t>metast-59</t>
  </si>
  <si>
    <t>Rodrigues: Grotte Fougere, 30-60 cm, ROD-SF-metast-60</t>
  </si>
  <si>
    <t>metast-60</t>
  </si>
  <si>
    <t>Rodrigues: Grotte Fougere, 30-60 cm, ROD-SF-metast-61</t>
  </si>
  <si>
    <t>metast-61</t>
  </si>
  <si>
    <t>Rodrigues: Grotte Fougere, 30-60 cm, ROD-SF-metast-62</t>
  </si>
  <si>
    <t>metast-62</t>
  </si>
  <si>
    <t>Rodrigues: Grotte Fougere, 30-60 cm, ROD-SF-metast-63</t>
  </si>
  <si>
    <t>metast-63</t>
  </si>
  <si>
    <t>Rodrigues: Grotte Fougere, 30-60 cm, ROD-SF-metast-64</t>
  </si>
  <si>
    <t>metast-64</t>
  </si>
  <si>
    <t>Rodrigues: Grotte Fougere, 30-60 cm, ROD-SF-metast-65</t>
  </si>
  <si>
    <t>metast-65</t>
  </si>
  <si>
    <t>Rodrigues: Grotte Fougere, 30-60 cm, ROD-SF-metast-66</t>
  </si>
  <si>
    <t>metast-66</t>
  </si>
  <si>
    <t>Rodrigues: Grotte Fougere, 30-60 cm, ROD-SF-metast-67</t>
  </si>
  <si>
    <t>metast-67</t>
  </si>
  <si>
    <t>Rodrigues: Grotte Fougere, 30-60 cm, ROD-SF-metast-68</t>
  </si>
  <si>
    <t>metast-68</t>
  </si>
  <si>
    <t>Rodrigues: Grotte Fougere, 30-60 cm, ROD-SF-metast-69</t>
  </si>
  <si>
    <t>metast-69</t>
  </si>
  <si>
    <t>Rodrigues: Grotte Fougere, 30-60 cm, ROD-SF-metast-70</t>
  </si>
  <si>
    <t>metast-70</t>
  </si>
  <si>
    <t>Rodrigues: Grotte Fougere, 30-60 cm, ROD-SF-metast-71</t>
  </si>
  <si>
    <t>metast-71</t>
  </si>
  <si>
    <t>Rodrigues: Grotte Fougere, 30-60 cm, ROD-SF-metast-72</t>
  </si>
  <si>
    <t>metast-72</t>
  </si>
  <si>
    <t>Rodrigues: Grotte Fougere, 30-60 cm, ROD-SF-metast-73</t>
  </si>
  <si>
    <t>metast-73</t>
  </si>
  <si>
    <t>Rodrigues: Grotte Fougere, 30-60 cm, ROD-SF-metast-74</t>
  </si>
  <si>
    <t>metast-74</t>
  </si>
  <si>
    <t>Rodrigues: Grotte Fougere, 30-60 cm, ROD-SF-metast-75</t>
  </si>
  <si>
    <t>metast-75</t>
  </si>
  <si>
    <t>Rodrigues: Grotte Fougere, 30-60 cm, ROD-SF-metast-76</t>
  </si>
  <si>
    <t>metast-76</t>
  </si>
  <si>
    <t>Rodrigues: Grotte Fougere, 30-60 cm, ROD-SF-metast-77</t>
  </si>
  <si>
    <t>metast-77</t>
  </si>
  <si>
    <t>Rodrigues: Grotte Fougere, 30-60 cm, ROD-SF-metast-78</t>
  </si>
  <si>
    <t>metast-78</t>
  </si>
  <si>
    <t>Rodrigues: Grotte Fougere, 30-60 cm, ROD-SF-metast-79</t>
  </si>
  <si>
    <t>metast-79</t>
  </si>
  <si>
    <t>Rodrigues: Grotte Fougere, 30-60 cm, ROD-SF-metast-80</t>
  </si>
  <si>
    <t>metast-80</t>
  </si>
  <si>
    <t>Rodrigues: Grotte Fougere, 30-60 cm, ROD-SF-metast-81</t>
  </si>
  <si>
    <t>metast-81</t>
  </si>
  <si>
    <t>Rodrigues: Grotte Fougere, 30-60 cm, ROD-SF-metast-82</t>
  </si>
  <si>
    <t>metast-82</t>
  </si>
  <si>
    <t>Rodrigues: Grotte Fougere, 30-60 cm, ROD-SF-metast-83</t>
  </si>
  <si>
    <t>metast-83</t>
  </si>
  <si>
    <t>Rodrigues: Grotte Fougere, 30-60 cm, ROD-SF-metast-84</t>
  </si>
  <si>
    <t>metast-84</t>
  </si>
  <si>
    <t>Rodrigues: Grotte Fougere, 30-60 cm, ROD-SF-metast-85</t>
  </si>
  <si>
    <t>metast-85</t>
  </si>
  <si>
    <t>Rodrigues: Grotte Fougere, 30-60 cm, ROD-SF-metast-86</t>
  </si>
  <si>
    <t>metast-86</t>
  </si>
  <si>
    <t>Rodrigues: Grotte Fougere, 30-60 cm, ROD-SF-metast-87</t>
  </si>
  <si>
    <t>metast-87</t>
  </si>
  <si>
    <t>Rodrigues: Grotte Fougere, 30-60 cm, ROD-SF-metast-88</t>
  </si>
  <si>
    <t>metast-88</t>
  </si>
  <si>
    <t>Rodrigues: Grotte Fougere, 30-60 cm, ROD-SF-metast-89</t>
  </si>
  <si>
    <t>metast-89</t>
  </si>
  <si>
    <t>Rodrigues: Grotte Fougere, 30-60 cm, ROD-SF-metast-90</t>
  </si>
  <si>
    <t>metast-90</t>
  </si>
  <si>
    <t>Rodrigues: Grotte Fougere, 30-60 cm, ROD-SF-metast-91</t>
  </si>
  <si>
    <t>metast-91</t>
  </si>
  <si>
    <t>Rodrigues: Grotte Fougere, 30-60 cm, ROD-SF-metast-92</t>
  </si>
  <si>
    <t>metast-92</t>
  </si>
  <si>
    <t>Rodrigues: Grotte Fougere, 30-60 cm, ROD-SF-metast-93</t>
  </si>
  <si>
    <t>metast-93</t>
  </si>
  <si>
    <t>Rodrigues: Grotte Fougere, 30-60 cm, ROD-SF-metast-94</t>
  </si>
  <si>
    <t>metast-94</t>
  </si>
  <si>
    <t>Rodrigues: Grotte Fougere, 30-60 cm, ROD-SF-metast-95</t>
  </si>
  <si>
    <t>metast-95</t>
  </si>
  <si>
    <t>Rodrigues: Grotte Fougere, 30-60 cm, ROD-SF-metast-96</t>
  </si>
  <si>
    <t>metast-96</t>
  </si>
  <si>
    <t>Rodrigues: Grotte Fougere, 30-60 cm, ROD-SF-metast-97</t>
  </si>
  <si>
    <t>metast-97</t>
  </si>
  <si>
    <t>Rodrigues: Grotte Fougere, 30-60 cm, ROD-SF-metast-98</t>
  </si>
  <si>
    <t>metast-98</t>
  </si>
  <si>
    <t>Rodrigues: Grotte Fougere, 30-60 cm, ROD-SF-metast-99</t>
  </si>
  <si>
    <t>metast-99</t>
  </si>
  <si>
    <t>Rodrigues: Grotte Fougere, 30-60 cm, ROD-SF-metast-100</t>
  </si>
  <si>
    <t>metast-100</t>
  </si>
  <si>
    <t>Rodrigues: Grotte Fougere, 30-60 cm, ROD-SF-metast-101</t>
  </si>
  <si>
    <t>metast-101</t>
  </si>
  <si>
    <t>Rodrigues: Grotte Fougere, 30-60 cm, ROD-SF-metast-102</t>
  </si>
  <si>
    <t>metast-102</t>
  </si>
  <si>
    <t>Rodrigues: Grotte Fougere, 30-60 cm, ROD-SF-metast-103</t>
  </si>
  <si>
    <t>metast-103</t>
  </si>
  <si>
    <t>Rodrigues: Grotte Fougere, 30-60 cm, ROD-SF-metast-104</t>
  </si>
  <si>
    <t>metast-104</t>
  </si>
  <si>
    <t>Rodrigues: Grotte Fougere, 30-60 cm, ROD-SF-metast-105</t>
  </si>
  <si>
    <t>metast-105</t>
  </si>
  <si>
    <t>Rodrigues: Grotte Fougere, 30-60 cm, ROD-SF-metast-106</t>
  </si>
  <si>
    <t>metast-106</t>
  </si>
  <si>
    <t>Rodrigues: Grotte Fougere, 30-60 cm, ROD-SF-metast-107</t>
  </si>
  <si>
    <t>metast-107</t>
  </si>
  <si>
    <t>Rodrigues: Grotte Fougere, 30-60 cm, ROD-SF-metast-108</t>
  </si>
  <si>
    <t>metast-108</t>
  </si>
  <si>
    <t>Rodrigues: Grotte Fougere, 30-60 cm, ROD-SF-metast-109</t>
  </si>
  <si>
    <t>metast-109</t>
  </si>
  <si>
    <t>Rodrigues: Grotte Fougere, 30-60 cm, ROD-SF-metast-110</t>
  </si>
  <si>
    <t>metast-110</t>
  </si>
  <si>
    <t>Rodrigues: Grotte Fougere, 30-60 cm, ROD-SF-metast-111</t>
  </si>
  <si>
    <t>metast-111</t>
  </si>
  <si>
    <t>Rodrigues: Grotte Fougere, 30-60 cm, ROD-SF-metast-112</t>
  </si>
  <si>
    <t>metast-112</t>
  </si>
  <si>
    <t>Rodrigues: Grotte Fougere, 30-60 cm, ROD-SF-metast-113</t>
  </si>
  <si>
    <t>metast-113</t>
  </si>
  <si>
    <t>Rodrigues: Grotte Fougere, 30-60 cm, ROD-SF-metast-114</t>
  </si>
  <si>
    <t>metast-114</t>
  </si>
  <si>
    <t>Rodrigues: Grotte Fougere, 30-60 cm, ROD-SF-metast-115</t>
  </si>
  <si>
    <t>metast-115</t>
  </si>
  <si>
    <t>Rodrigues: Grotte Fougere, 30-60 cm, ROD-SF-metast-116</t>
  </si>
  <si>
    <t>metast-116</t>
  </si>
  <si>
    <t>Rodrigues: Grotte Fougere, 30-60 cm, ROD-SF-metast-117</t>
  </si>
  <si>
    <t>metast-117</t>
  </si>
  <si>
    <t>Rodrigues: Grotte Fougere, 30-60 cm, ROD-SF-metast-118</t>
  </si>
  <si>
    <t>metast-118</t>
  </si>
  <si>
    <t>Rodrigues: Grotte Fougere, 30-60 cm, ROD-SF-metast-119</t>
  </si>
  <si>
    <t>metast-119</t>
  </si>
  <si>
    <t>Rodrigues: Grotte Fougere, 30-60 cm, ROD-SF-metast-120</t>
  </si>
  <si>
    <t>metast-120</t>
  </si>
  <si>
    <t>Rodrigues: Grotte Fougere, 30-60 cm, ROD-SF-metast-121</t>
  </si>
  <si>
    <t>metast-121</t>
  </si>
  <si>
    <t>Rodrigues: Grotte Fougere, 30-60 cm, ROD-SF-metast-122</t>
  </si>
  <si>
    <t>metast-122</t>
  </si>
  <si>
    <t>Rodrigues: Grotte Fougere, 30-60 cm, ROD-SF-metast-123</t>
  </si>
  <si>
    <t>metast-123</t>
  </si>
  <si>
    <t>mesosternum heavily and finely punctated, metasternum with fine punctures medially</t>
  </si>
  <si>
    <t>Rodrigues: Grotte Fougere, 30-60 cm, ROD-SF-metast-124</t>
  </si>
  <si>
    <t>metast-124</t>
  </si>
  <si>
    <t>Rodrigues: Grotte Fougere, 30-60 cm, ROD-SF-metast-125</t>
  </si>
  <si>
    <t>metast-125</t>
  </si>
  <si>
    <t>Rodrigues: Grotte Fougere, 30-60 cm, ROD-SF-metast-126</t>
  </si>
  <si>
    <t>metast-126</t>
  </si>
  <si>
    <t>Rodrigues: Grotte Fougere, 30-60 cm, ROD-SF-metast-127</t>
  </si>
  <si>
    <t>metast-127</t>
  </si>
  <si>
    <t>Rodrigues: Grotte Fougere, 30-60 cm, ROD-SF-metast-128</t>
  </si>
  <si>
    <t>metast-128</t>
  </si>
  <si>
    <t>Rodrigues: Grotte Fougere, 30-60 cm, ROD-SF-metast-129</t>
  </si>
  <si>
    <t>metast-129</t>
  </si>
  <si>
    <t>Rodrigues: Grotte Fougere, 30-60 cm, ROD-SF-metast-130</t>
  </si>
  <si>
    <t>metast-130</t>
  </si>
  <si>
    <t>Rodrigues: Grotte Fougere, 30-60 cm, ROD-SF-metast-131</t>
  </si>
  <si>
    <t>metast-131</t>
  </si>
  <si>
    <t>Rodrigues: Grotte Fougere, 30-60 cm, ROD-SF-metast-132</t>
  </si>
  <si>
    <t>metast-132</t>
  </si>
  <si>
    <t>Rodrigues: Grotte Fougere, 30-60 cm, ROD-SF-metast-133</t>
  </si>
  <si>
    <t>metast-133</t>
  </si>
  <si>
    <t>Rodrigues: Grotte Fougere, 30-60 cm, ROD-SF-metast-134</t>
  </si>
  <si>
    <t>metast-134</t>
  </si>
  <si>
    <t>Rodrigues: Grotte Fougere, 30-60 cm, ROD-SF-metast-135</t>
  </si>
  <si>
    <t>metast-135</t>
  </si>
  <si>
    <t>Rodrigues: Grotte Fougere, 30-60 cm, ROD-SF-metast-136</t>
  </si>
  <si>
    <t>metast-136</t>
  </si>
  <si>
    <t>Rodrigues: Grotte Fougere, 30-60 cm, ROD-SF-metast-137</t>
  </si>
  <si>
    <t>metast-137</t>
  </si>
  <si>
    <t>Rodrigues: Grotte Fougere, 30-60 cm, ROD-SF-metast-138</t>
  </si>
  <si>
    <t>metast-138</t>
  </si>
  <si>
    <t>Rodrigues: Grotte Fougere, 30-60 cm, ROD-SF-metast-139</t>
  </si>
  <si>
    <t>metast-139</t>
  </si>
  <si>
    <t>Rodrigues: Grotte Fougere, 30-60 cm, ROD-SF-metast-140</t>
  </si>
  <si>
    <t>metast-140</t>
  </si>
  <si>
    <t>Rodrigues: Grotte Fougere, 30-60 cm, ROD-SF-metast-141</t>
  </si>
  <si>
    <t>metast-141</t>
  </si>
  <si>
    <t>Rodrigues: Grotte Fougere, 30-60 cm, ROD-SF-metast-142</t>
  </si>
  <si>
    <t>metast-142</t>
  </si>
  <si>
    <t>Rodrigues: Grotte Fougere, 30-60 cm, ROD-SF-metast-143</t>
  </si>
  <si>
    <t>metast-143</t>
  </si>
  <si>
    <t>Rodrigues: Grotte Fougere, 30-60 cm, ROD-SF-metast-144</t>
  </si>
  <si>
    <t>metast-144</t>
  </si>
  <si>
    <t>Rodrigues: Grotte Fougere, 30-60 cm, ROD-SF-metast-145</t>
  </si>
  <si>
    <t>metast-145</t>
  </si>
  <si>
    <t>Rodrigues: Grotte Fougere, 30-60 cm, ROD-SF-metast-146</t>
  </si>
  <si>
    <t>metast-146</t>
  </si>
  <si>
    <t>Rodrigues: Grotte Fougere, 30-60 cm, ROD-SF-metast-147</t>
  </si>
  <si>
    <t>metast-147</t>
  </si>
  <si>
    <t>Rodrigues: Grotte Fougere, 30-60 cm, ROD-SF-metast-148</t>
  </si>
  <si>
    <t>metast-148</t>
  </si>
  <si>
    <t>Rodrigues: Grotte Fougere, 30-60 cm, ROD-SF-metast-149</t>
  </si>
  <si>
    <t>metast-149</t>
  </si>
  <si>
    <t>Rodrigues: Grotte Fougere, 30-60 cm, ROD-SF-metast-150</t>
  </si>
  <si>
    <t>metast-150</t>
  </si>
  <si>
    <t>Rodrigues: Grotte Fougere, 30-60 cm, ROD-SF-metast-151</t>
  </si>
  <si>
    <t>metast-151</t>
  </si>
  <si>
    <t>Rodrigues: Grotte Fougere, 30-60 cm, ROD-SF-metast-152</t>
  </si>
  <si>
    <t>metast-152</t>
  </si>
  <si>
    <t>Rodrigues: Grotte Fougere, 30-60 cm, ROD-SF-metast-153</t>
  </si>
  <si>
    <t>metast-153</t>
  </si>
  <si>
    <t>Rodrigues: Grotte Fougere, 30-60 cm, ROD-SF-metast-154</t>
  </si>
  <si>
    <t>metast-154</t>
  </si>
  <si>
    <t>Rodrigues: Grotte Fougere, 30-60 cm, ROD-SF-metast-155</t>
  </si>
  <si>
    <t>metast-155</t>
  </si>
  <si>
    <t>Rodrigues: Grotte Fougere, 30-60 cm, ROD-SF-metast-156</t>
  </si>
  <si>
    <t>metast-156</t>
  </si>
  <si>
    <t>Rodrigues: Grotte Fougere, 30-60 cm, ROD-SF-metast-157</t>
  </si>
  <si>
    <t>metast-157</t>
  </si>
  <si>
    <t>Rodrigues: Grotte Fougere, 30-60 cm, ROD-SF-metast-158</t>
  </si>
  <si>
    <t>metast-158</t>
  </si>
  <si>
    <t>Rodrigues: Grotte Fougere, 30-60 cm, ROD-SF-metast-159</t>
  </si>
  <si>
    <t>metast-159</t>
  </si>
  <si>
    <t>Rodrigues: Grotte Fougere, 30-60 cm, ROD-SF-metast-160</t>
  </si>
  <si>
    <t>metast-160</t>
  </si>
  <si>
    <t>Rodrigues: Grotte Fougere, 30-60 cm, ROD-SF-metast-161</t>
  </si>
  <si>
    <t>metast-161</t>
  </si>
  <si>
    <t>Rodrigues: Grotte Fougere, 30-60 cm, ROD-SF-metast-162</t>
  </si>
  <si>
    <t>metast-162</t>
  </si>
  <si>
    <t>Rodrigues: Grotte Fougere, 30-60 cm, ROD-SF-metast-163</t>
  </si>
  <si>
    <t>metast-163</t>
  </si>
  <si>
    <t>Rodrigues: Grotte Fougere, 30-60 cm, ROD-SF-metast-164</t>
  </si>
  <si>
    <t>metast-164</t>
  </si>
  <si>
    <t>Rodrigues: Grotte Fougere, 30-60 cm, ROD-SF-metast-165</t>
  </si>
  <si>
    <t>metast-165</t>
  </si>
  <si>
    <t>Rodrigues: Grotte Fougere, 30-60 cm, ROD-SF-metast-166</t>
  </si>
  <si>
    <t>metast-166</t>
  </si>
  <si>
    <t>Rodrigues: Grotte Fougere, 30-60 cm, ROD-SF-metast-167</t>
  </si>
  <si>
    <t>metast-167</t>
  </si>
  <si>
    <t>Rodrigues: Grotte Fougere, 30-60 cm, ROD-SF-metast-168</t>
  </si>
  <si>
    <t>metast-168</t>
  </si>
  <si>
    <t>Rodrigues: Grotte Fougere, 30-60 cm, ROD-SF-metast-169</t>
  </si>
  <si>
    <t>metast-169</t>
  </si>
  <si>
    <t>Rodrigues: Grotte Fougere, 30-60 cm, ROD-SF-metast-170</t>
  </si>
  <si>
    <t>metast-170</t>
  </si>
  <si>
    <t>Rodrigues: Grotte Fougere, 30-60 cm, ROD-SF-metast-171</t>
  </si>
  <si>
    <t>metast-171</t>
  </si>
  <si>
    <t>Rodrigues: Grotte Fougere, 30-60 cm, ROD-SF-metast-172</t>
  </si>
  <si>
    <t>metast-172</t>
  </si>
  <si>
    <t>Rodrigues: Grotte Fougere, 30-60 cm, ROD-SF-metast-173</t>
  </si>
  <si>
    <t>metast-173</t>
  </si>
  <si>
    <t>Rodrigues: Grotte Fougere, 30-60 cm, ROD-SF-metast-174</t>
  </si>
  <si>
    <t>metast-174</t>
  </si>
  <si>
    <t>Rodrigues: Grotte Fougere, 30-60 cm, ROD-SF-metast-175</t>
  </si>
  <si>
    <t>metast-175</t>
  </si>
  <si>
    <t>Rodrigues: Grotte Fougere, 30-60 cm, ROD-SF-metast-176</t>
  </si>
  <si>
    <t>metast-176</t>
  </si>
  <si>
    <t>Rodrigues: Grotte Fougere, 30-60 cm, ROD-SF-metast-177</t>
  </si>
  <si>
    <t>metast-177</t>
  </si>
  <si>
    <t>Rodrigues: Grotte Fougere, 30-60 cm, ROD-SF-metast-178</t>
  </si>
  <si>
    <t>metast-178</t>
  </si>
  <si>
    <t>Rodrigues: Grotte Fougere, 30-60 cm, ROD-SF-metast-179</t>
  </si>
  <si>
    <t>metast-179</t>
  </si>
  <si>
    <t>Rodrigues: Grotte Fougere, 30-60 cm, ROD-SF-metast-180</t>
  </si>
  <si>
    <t>metast-180</t>
  </si>
  <si>
    <t>Rodrigues: Grotte Fougere, 30-60 cm, ROD-SF-metast-181</t>
  </si>
  <si>
    <t>metast-181</t>
  </si>
  <si>
    <t>Rodrigues: Grotte Fougere, 30-60 cm, ROD-SF-metast-182</t>
  </si>
  <si>
    <t>metast-182</t>
  </si>
  <si>
    <t>Rodrigues: Grotte Fougere, 30-60 cm, ROD-SF-metast-183</t>
  </si>
  <si>
    <t>metast-183</t>
  </si>
  <si>
    <t>Rodrigues: Grotte Fougere, 30-60 cm, ROD-SF-metast-184</t>
  </si>
  <si>
    <t>metast-184</t>
  </si>
  <si>
    <t>Rodrigues: Grotte Fougere, 30-60 cm, ROD-SF-metast-185</t>
  </si>
  <si>
    <t>metast-185</t>
  </si>
  <si>
    <t>Rodrigues: Grotte Fougere, 30-60 cm, ROD-SF-metast-186</t>
  </si>
  <si>
    <t>metast-186</t>
  </si>
  <si>
    <t>Rodrigues: Grotte Fougere, 30-60 cm, ROD-SF-metast-187</t>
  </si>
  <si>
    <t>metast-187</t>
  </si>
  <si>
    <t>Rodrigues: Grotte Fougere, 30-60 cm, ROD-SF-metast-188</t>
  </si>
  <si>
    <t>metast-188</t>
  </si>
  <si>
    <t>Rodrigues: Grotte Fougere, 30-60 cm, ROD-SF-metast-189</t>
  </si>
  <si>
    <t>metast-189</t>
  </si>
  <si>
    <t>Rodrigues: Grotte Fougere, 30-60 cm, ROD-SF-metast-190</t>
  </si>
  <si>
    <t>metast-190</t>
  </si>
  <si>
    <t>Rodrigues: Grotte Fougere, 30-60 cm, ROD-SF-metast-191</t>
  </si>
  <si>
    <t>metast-191</t>
  </si>
  <si>
    <t>Rodrigues: Grotte Fougere, 30-60 cm, ROD-SF-metast-192</t>
  </si>
  <si>
    <t>metast-192</t>
  </si>
  <si>
    <t>Rodrigues: Grotte Fougere, 30-60 cm, ROD-SF-pyg-1</t>
  </si>
  <si>
    <t>pyg-1</t>
  </si>
  <si>
    <t>female?</t>
  </si>
  <si>
    <t>Rodrigues: Grotte Fougere, 30-60 cm, ROD-SF-pyg-2</t>
  </si>
  <si>
    <t>pyg-2</t>
  </si>
  <si>
    <t>Rodrigues: Grotte Fougere, 30-60 cm, ROD-SF-pyg-3</t>
  </si>
  <si>
    <t>pyg-3</t>
  </si>
  <si>
    <t>male?</t>
  </si>
  <si>
    <t>Rodrigues: Grotte Fougere, 30-60 cm, ROD-SF-pyg-4</t>
  </si>
  <si>
    <t>pyg-4</t>
  </si>
  <si>
    <t>Rodrigues: Grotte Fougere, 30-60 cm, ROD-SF-pyg-5</t>
  </si>
  <si>
    <t>pyg-5</t>
  </si>
  <si>
    <t>Rodrigues: Grotte Fougere, 30-60 cm, ROD-SF-pyg-6</t>
  </si>
  <si>
    <t>pyg-6</t>
  </si>
  <si>
    <t>Rodrigues: Grotte Fougere, 30-60 cm, ROD-SF-pyg-7</t>
  </si>
  <si>
    <t>pyg-7</t>
  </si>
  <si>
    <t>Rodrigues: Grotte Fougere, 30-60 cm, ROD-SF-pyg-8</t>
  </si>
  <si>
    <t>pyg-8</t>
  </si>
  <si>
    <t>it is an elytron!</t>
  </si>
  <si>
    <t>Rodrigues: Grotte Fougere, 30-60 cm, ROD-SF-pyg-9</t>
  </si>
  <si>
    <t>pyg-9</t>
  </si>
  <si>
    <t>Rodrigues: Grotte Fougere, 30-60 cm, ROD-SF-pyg-10</t>
  </si>
  <si>
    <t>pyg-10</t>
  </si>
  <si>
    <t>Rodrigues: Grotte Fougere, 30-60 cm, ROD-SF-stern-1</t>
  </si>
  <si>
    <t>stern-1</t>
  </si>
  <si>
    <t>Rodrigues: Grotte Fougere, 30-60 cm, ROD-SF-stern-2</t>
  </si>
  <si>
    <t>stern-2</t>
  </si>
  <si>
    <t>last sternite wide: female?</t>
  </si>
  <si>
    <t>Rodrigues: Grotte Fougere, 30-60 cm, ROD-SF-stern-3</t>
  </si>
  <si>
    <t>stern-3</t>
  </si>
  <si>
    <t>Rodrigues: Grotte Fougere, 30-60 cm, ROD-SF-stern-4</t>
  </si>
  <si>
    <t>stern-4</t>
  </si>
  <si>
    <t>Rodrigues: Grotte Fougere, 30-60 cm, ROD-SF-stern-5</t>
  </si>
  <si>
    <t>stern-5</t>
  </si>
  <si>
    <t>last sternite constricted medially: male?</t>
  </si>
  <si>
    <t>Rodrigues: Grotte Fougere, 30-60 cm, ROD-SF-stern-6</t>
  </si>
  <si>
    <t>stern-6</t>
  </si>
  <si>
    <t>Rodrigues: Grotte Fougere, 30-60 cm, ROD-SF-stern-7</t>
  </si>
  <si>
    <t>stern-7</t>
  </si>
  <si>
    <t>Rodrigues: Grotte Fougere, 30-60 cm, ROD-SF-stern-8</t>
  </si>
  <si>
    <t>stern-8</t>
  </si>
  <si>
    <t>Rodrigues: Grotte Fougere, 30-60 cm, ROD-SF-stern-9</t>
  </si>
  <si>
    <t>stern-9</t>
  </si>
  <si>
    <t>Rodrigues: Grotte Fougere, 30-60 cm, ROD-SF-stern-10</t>
  </si>
  <si>
    <t>stern-10</t>
  </si>
  <si>
    <t>Rodrigues: Grotte Fougere, 30-60 cm, ROD-SF-stern-11</t>
  </si>
  <si>
    <t>stern-11</t>
  </si>
  <si>
    <t>Rodrigues: Grotte Fougere, 30-60 cm, ROD-SF-stern-12</t>
  </si>
  <si>
    <t>stern-12</t>
  </si>
  <si>
    <t>Rodrigues: Grotte Fougere, 30-60 cm, ROD-SF-stern-13</t>
  </si>
  <si>
    <t>stern-13</t>
  </si>
  <si>
    <t>strong punctures</t>
  </si>
  <si>
    <t>Rodrigues: Grotte Fougere, 30-60 cm, ROD-SF-stern-14</t>
  </si>
  <si>
    <t>stern-14</t>
  </si>
  <si>
    <t>strong punctures, very flat and convex posteriorly; male of #15?</t>
  </si>
  <si>
    <t>Rodrigues: Grotte Fougere, 30-60 cm, ROD-SF-stern-15</t>
  </si>
  <si>
    <t>stern-15</t>
  </si>
  <si>
    <t>strong punctures; female of #14?</t>
  </si>
  <si>
    <t>Rodrigues: Grotte Fougere, 30-60 cm, ROD-SF-stern-16</t>
  </si>
  <si>
    <t>stern-16</t>
  </si>
  <si>
    <t>Rodrigues: Grotte Fougere, 30-60 cm, ROD-SF-stern-17</t>
  </si>
  <si>
    <t>stern-17</t>
  </si>
  <si>
    <t>Rodrigues: Grotte Fougere, 30-60 cm, ROD-SF-mleg-1</t>
  </si>
  <si>
    <t>mleg-1</t>
  </si>
  <si>
    <t>Rodrigues: Grotte Fougere, 30-60 cm, ROD-SF-mleg-2</t>
  </si>
  <si>
    <t>mleg-2</t>
  </si>
  <si>
    <t>Rodrigues: Grotte Fougere, 30-60 cm, ROD-SF-mleg-3</t>
  </si>
  <si>
    <t>mleg-3</t>
  </si>
  <si>
    <t>Rodrigues: Grotte Fougere, 30-60 cm, ROD-SF-mleg-4</t>
  </si>
  <si>
    <t>mleg-4</t>
  </si>
  <si>
    <t>Rodrigues: Grotte Fougere, 30-60 cm, ROD-SF-mleg-5</t>
  </si>
  <si>
    <t>mleg-5</t>
  </si>
  <si>
    <t>Rodrigues: Grotte Fougere, 30-60 cm, ROD-SF-mleg-6</t>
  </si>
  <si>
    <t>mleg-6</t>
  </si>
  <si>
    <t>Rodrigues: Grotte Fougere, 30-60 cm, ROD-SF-proleg-16</t>
  </si>
  <si>
    <t>proleg-16</t>
  </si>
  <si>
    <t>Rodrigues: Grotte Fougere, 30-60 cm, ROD-SF-proleg-17</t>
  </si>
  <si>
    <t>proleg-17</t>
  </si>
  <si>
    <t>Rodrigues: Grotte Fougere, 30-60 cm, ROD-SF-proleg-18</t>
  </si>
  <si>
    <t>proleg-18</t>
  </si>
  <si>
    <t>Rodrigues: Grotte Fougere, 30-60 cm, ROD-SF-proleg-19</t>
  </si>
  <si>
    <t>proleg-19</t>
  </si>
  <si>
    <t>Rodrigues: Grotte Fougere, 30-60 cm, ROD-SF-proleg-20</t>
  </si>
  <si>
    <t>proleg-20</t>
  </si>
  <si>
    <t>Rodrigues: Grotte Fougere, 30-60 cm, ROD-SF-proleg-21</t>
  </si>
  <si>
    <t>proleg-21</t>
  </si>
  <si>
    <t>Rodrigues: Grotte Fougere, 30-60 cm, ROD-SF-proleg-22</t>
  </si>
  <si>
    <t>proleg-22</t>
  </si>
  <si>
    <t>Rodrigues: Grotte Fougere, 30-60 cm, ROD-SF-proleg-23</t>
  </si>
  <si>
    <t>proleg-23</t>
  </si>
  <si>
    <t>Rodrigues: Grotte Fougere, 30-60 cm, ROD-SF-proleg-24</t>
  </si>
  <si>
    <t>proleg-24</t>
  </si>
  <si>
    <t>Rodrigues: Grotte Fougere, 30-60 cm, ROD-SF-proleg-25</t>
  </si>
  <si>
    <t>proleg-25</t>
  </si>
  <si>
    <t>protibia with spine</t>
  </si>
  <si>
    <t>Rodrigues: Grotte Fougere, 30-60 cm, ROD-SF-proleg-26</t>
  </si>
  <si>
    <t>proleg-26</t>
  </si>
  <si>
    <t>Rodrigues: Grotte Fougere, 30-60 cm, ROD-SF-proleg-27</t>
  </si>
  <si>
    <t>proleg-27</t>
  </si>
  <si>
    <t>Rodrigues: Grotte Fougere, 30-60 cm, ROD-SF-proleg-28</t>
  </si>
  <si>
    <t>proleg-28</t>
  </si>
  <si>
    <t>protibia with spine but larger teeth: female?</t>
  </si>
  <si>
    <t>Rodrigues: Grotte Fougere, 30-60 cm, ROD-SF-proleg-29</t>
  </si>
  <si>
    <t>proleg-29</t>
  </si>
  <si>
    <t>Rodrigues: Grotte Fougere, 30-60 cm, ROD-SF-proleg-30</t>
  </si>
  <si>
    <t>proleg-30</t>
  </si>
  <si>
    <t>Rodrigues: Grotte Fougere, 30-60 cm, ROD-SF-proleg-31</t>
  </si>
  <si>
    <t>proleg-31</t>
  </si>
  <si>
    <t>Rodrigues: Grotte Fougere, 30-60 cm, ROD-SF-proleg-32</t>
  </si>
  <si>
    <t>proleg-32</t>
  </si>
  <si>
    <t>Rodrigues: Grotte Fougere, 30-60 cm, ROD-SF-proleg-33</t>
  </si>
  <si>
    <t>proleg-33</t>
  </si>
  <si>
    <t>Rodrigues: Grotte Fougere, 30-60 cm, ROD-SF-proleg-34</t>
  </si>
  <si>
    <t>proleg-34</t>
  </si>
  <si>
    <t>Rodrigues: Grotte Fougere, 30-60 cm, ROD-SF-proleg-35</t>
  </si>
  <si>
    <t>proleg-35</t>
  </si>
  <si>
    <t>Rodrigues: Grotte Fougere, 30-60 cm, ROD-SF-proleg-36</t>
  </si>
  <si>
    <t>proleg-36</t>
  </si>
  <si>
    <t>Rodrigues: Grotte Fougere, 30-60 cm, ROD-SF-proleg-37</t>
  </si>
  <si>
    <t>proleg-37</t>
  </si>
  <si>
    <t>Rodrigues: Grotte Fougere, 30-60 cm, ROD-SF-proleg-38</t>
  </si>
  <si>
    <t>proleg-38</t>
  </si>
  <si>
    <t>Rodrigues: Grotte Fougere, 30-60 cm, ROD-SF-proleg-39</t>
  </si>
  <si>
    <t>proleg-39</t>
  </si>
  <si>
    <t>Rodrigues: Grotte Fougere, 30-60 cm, ROD-SF-proleg-40</t>
  </si>
  <si>
    <t>proleg-40</t>
  </si>
  <si>
    <t>Rodrigues: Grotte Fougere, 30-60 cm, ROD-SF-proleg-41</t>
  </si>
  <si>
    <t>proleg-41</t>
  </si>
  <si>
    <t>Rodrigues: Grotte Fougere, 30-60 cm, ROD-SF-proleg-42</t>
  </si>
  <si>
    <t>proleg-42</t>
  </si>
  <si>
    <t>Rodrigues: Grotte Fougere, 30-60 cm, ROD-SF-proleg-43</t>
  </si>
  <si>
    <t>proleg-43</t>
  </si>
  <si>
    <t>Rodrigues: Grotte Fougere, 30-60 cm, ROD-SF-proleg-44</t>
  </si>
  <si>
    <t>proleg-44</t>
  </si>
  <si>
    <t>Rodrigues: Grotte Fougere, 30-60 cm, ROD-SF-proleg-45</t>
  </si>
  <si>
    <t>proleg-45</t>
  </si>
  <si>
    <t>Rodrigues: Grotte Fougere, 30-60 cm, ROD-SF-proleg-46</t>
  </si>
  <si>
    <t>proleg-46</t>
  </si>
  <si>
    <t>Rodrigues: Grotte Fougere, 30-60 cm, ROD-SF-proleg-47</t>
  </si>
  <si>
    <t>proleg-47</t>
  </si>
  <si>
    <t>Rodrigues: Grotte Fougere, 30-60 cm, ROD-SF-proleg-48</t>
  </si>
  <si>
    <t>proleg-48</t>
  </si>
  <si>
    <t>Rodrigues: Grotte Fougere, 30-60 cm, ROD-SF-proleg-49</t>
  </si>
  <si>
    <t>proleg-49</t>
  </si>
  <si>
    <t>Rodrigues: Grotte Fougere, 30-60 cm, ROD-SF-proleg-50</t>
  </si>
  <si>
    <t>proleg-50</t>
  </si>
  <si>
    <t>Rodrigues: Grotte Fougere, 30-60 cm, ROD-SF-proleg-51</t>
  </si>
  <si>
    <t>proleg-51</t>
  </si>
  <si>
    <t>Rodrigues: Grotte Fougere, 30-60 cm, ROD-SF-proleg-52</t>
  </si>
  <si>
    <t>proleg-52</t>
  </si>
  <si>
    <t>has setiferous (likely glandular) patch on dorsal profemur, and tubercle ventrally on protibia: MALE?</t>
  </si>
  <si>
    <t>Rodrigues: Grotte Fougere, 30-60 cm, ROD-SF-mouthpart-1</t>
  </si>
  <si>
    <t>mouthpart-1</t>
  </si>
  <si>
    <t>not dung beetle (not depicted)</t>
  </si>
  <si>
    <t>Rodrigues: Grotte Fougere, 30-60 cm, ROD-SF-unknown-1</t>
  </si>
  <si>
    <t>unknown-1</t>
  </si>
  <si>
    <t>Rodrigues: Grotte Fougere, 30-60 cm, ROD-SF-unknown-2</t>
  </si>
  <si>
    <t>unknown-2</t>
  </si>
  <si>
    <t>Rodrigues: Grotte Fougere, 30-60 cm, ROD-SF-unknown-3</t>
  </si>
  <si>
    <t>unknown-3</t>
  </si>
  <si>
    <t>Rodrigues: Grotte Fougere, 30-60 cm, ROD-SF-unknown-4</t>
  </si>
  <si>
    <t>unknown-4</t>
  </si>
  <si>
    <t>Rodrigues: Grotte Fougere, 30-60 cm, ROD-SF-unknown-5</t>
  </si>
  <si>
    <t>unknown-5</t>
  </si>
  <si>
    <t>Rodrigues: Grotte Fougere, 30-60 cm, ROD-SF-unknown-6</t>
  </si>
  <si>
    <t>unknown-6</t>
  </si>
  <si>
    <t>Rodrigues: Grotte Fougere, 30-60 cm, ROD-SF-unknown-7</t>
  </si>
  <si>
    <t>unknown-7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</si>
</sst>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 Light"/>
      <family val="2"/>
    </font>
    <font>
      <sz val="12"/>
      <color rgb="FF000000"/>
      <name val="Calibri Light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 Light"/>
      <family val="2"/>
    </font>
    <font>
      <sz val="12"/>
      <color rgb="FFFF0000"/>
      <name val="Calibri"/>
      <family val="2"/>
    </font>
    <font>
      <i/>
      <sz val="12"/>
      <color rgb="FF000000"/>
      <name val="Calibri"/>
    </font>
    <font>
      <b/>
      <sz val="12"/>
      <color rgb="FF000000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11" fillId="0" borderId="4" xfId="0" applyFont="1" applyBorder="1"/>
    <xf numFmtId="0" fontId="12" fillId="0" borderId="4" xfId="0" applyFont="1" applyBorder="1"/>
    <xf numFmtId="0" fontId="12" fillId="0" borderId="5" xfId="0" applyFont="1" applyBorder="1"/>
    <xf numFmtId="0" fontId="3" fillId="0" borderId="4" xfId="0" applyFont="1" applyBorder="1"/>
    <xf numFmtId="0" fontId="9" fillId="0" borderId="5" xfId="0" applyFont="1" applyBorder="1"/>
    <xf numFmtId="0" fontId="11" fillId="0" borderId="0" xfId="0" applyFont="1"/>
    <xf numFmtId="0" fontId="12" fillId="0" borderId="0" xfId="0" applyFont="1"/>
    <xf numFmtId="0" fontId="12" fillId="0" borderId="3" xfId="0" applyFont="1" applyBorder="1"/>
    <xf numFmtId="0" fontId="9" fillId="0" borderId="4" xfId="0" applyFont="1" applyBorder="1"/>
    <xf numFmtId="0" fontId="3" fillId="0" borderId="6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3" fillId="0" borderId="8" xfId="0" applyFont="1" applyBorder="1"/>
    <xf numFmtId="0" fontId="13" fillId="0" borderId="0" xfId="0" applyFont="1"/>
    <xf numFmtId="0" fontId="14" fillId="0" borderId="9" xfId="0" applyFont="1" applyBorder="1"/>
    <xf numFmtId="0" fontId="14" fillId="0" borderId="10" xfId="0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4" fillId="0" borderId="9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7503-4A69-4813-839C-B60312AFAA8C}">
  <dimension ref="A1:D10"/>
  <sheetViews>
    <sheetView tabSelected="1" workbookViewId="0">
      <selection activeCell="A2" sqref="A2"/>
    </sheetView>
  </sheetViews>
  <sheetFormatPr defaultRowHeight="15.75"/>
  <cols>
    <col min="1" max="1" width="73" style="46" bestFit="1" customWidth="1"/>
    <col min="2" max="2" width="21" style="43" customWidth="1"/>
    <col min="3" max="3" width="16.75" style="41" customWidth="1"/>
    <col min="4" max="4" width="30.25" style="41" customWidth="1"/>
    <col min="5" max="16384" width="9" style="41"/>
  </cols>
  <sheetData>
    <row r="1" spans="1:4">
      <c r="A1" s="45" t="s">
        <v>0</v>
      </c>
      <c r="B1" s="42" t="s">
        <v>1</v>
      </c>
      <c r="C1" s="40" t="s">
        <v>2</v>
      </c>
      <c r="D1" s="40" t="s">
        <v>3</v>
      </c>
    </row>
    <row r="2" spans="1:4">
      <c r="A2" s="46" t="s">
        <v>4</v>
      </c>
      <c r="B2" s="44" t="s">
        <v>5</v>
      </c>
      <c r="C2" s="41" t="s">
        <v>6</v>
      </c>
    </row>
    <row r="3" spans="1:4">
      <c r="A3" s="46" t="s">
        <v>7</v>
      </c>
      <c r="B3" s="44" t="s">
        <v>8</v>
      </c>
      <c r="C3" s="41" t="s">
        <v>9</v>
      </c>
    </row>
    <row r="4" spans="1:4">
      <c r="A4" s="46" t="s">
        <v>10</v>
      </c>
      <c r="B4" s="43" t="s">
        <v>11</v>
      </c>
      <c r="C4" s="41" t="s">
        <v>9</v>
      </c>
    </row>
    <row r="5" spans="1:4">
      <c r="A5" s="46" t="s">
        <v>12</v>
      </c>
      <c r="B5" s="43" t="s">
        <v>13</v>
      </c>
      <c r="C5" s="41" t="s">
        <v>14</v>
      </c>
    </row>
    <row r="6" spans="1:4">
      <c r="A6" s="46" t="s">
        <v>15</v>
      </c>
      <c r="B6" s="43" t="s">
        <v>16</v>
      </c>
      <c r="C6" s="41" t="s">
        <v>9</v>
      </c>
    </row>
    <row r="7" spans="1:4">
      <c r="A7" s="46" t="s">
        <v>17</v>
      </c>
      <c r="B7" s="43" t="s">
        <v>18</v>
      </c>
      <c r="C7" s="41" t="s">
        <v>9</v>
      </c>
    </row>
    <row r="8" spans="1:4">
      <c r="A8" s="46" t="s">
        <v>19</v>
      </c>
      <c r="B8" s="43" t="s">
        <v>20</v>
      </c>
      <c r="C8" s="41" t="s">
        <v>9</v>
      </c>
    </row>
    <row r="9" spans="1:4">
      <c r="A9" s="46" t="s">
        <v>21</v>
      </c>
      <c r="B9" s="43" t="s">
        <v>22</v>
      </c>
      <c r="C9" s="41" t="s">
        <v>9</v>
      </c>
      <c r="D9" s="41" t="s">
        <v>23</v>
      </c>
    </row>
    <row r="10" spans="1:4">
      <c r="A10" s="46" t="s">
        <v>24</v>
      </c>
      <c r="B10" s="44" t="s">
        <v>25</v>
      </c>
      <c r="C10" s="41" t="s">
        <v>26</v>
      </c>
      <c r="D10" s="4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8049-3E29-4E56-90A5-8BD644D64246}">
  <dimension ref="A1:E122"/>
  <sheetViews>
    <sheetView workbookViewId="0">
      <pane ySplit="1" topLeftCell="A2" activePane="bottomLeft" state="frozen"/>
      <selection pane="bottomLeft" sqref="A1:E1"/>
    </sheetView>
  </sheetViews>
  <sheetFormatPr defaultColWidth="9" defaultRowHeight="15.75"/>
  <cols>
    <col min="1" max="1" width="64.75" style="35" customWidth="1"/>
    <col min="2" max="2" width="19.5" style="35" bestFit="1" customWidth="1"/>
    <col min="3" max="3" width="14.375" style="35" bestFit="1" customWidth="1"/>
    <col min="4" max="4" width="30.75" style="35" hidden="1" customWidth="1"/>
    <col min="5" max="5" width="24.375" style="35" customWidth="1"/>
    <col min="6" max="6" width="20.875" style="35" customWidth="1"/>
    <col min="7" max="16384" width="9" style="35"/>
  </cols>
  <sheetData>
    <row r="1" spans="1:5">
      <c r="A1" s="33" t="s">
        <v>0</v>
      </c>
      <c r="B1" s="34" t="s">
        <v>1</v>
      </c>
      <c r="C1" s="34" t="s">
        <v>2</v>
      </c>
      <c r="D1" s="34" t="s">
        <v>2</v>
      </c>
      <c r="E1" s="34" t="s">
        <v>3</v>
      </c>
    </row>
    <row r="2" spans="1:5">
      <c r="A2" s="36" t="s">
        <v>28</v>
      </c>
      <c r="B2" s="36" t="s">
        <v>29</v>
      </c>
      <c r="C2" s="36" t="s">
        <v>30</v>
      </c>
      <c r="D2" s="36"/>
    </row>
    <row r="3" spans="1:5">
      <c r="A3" s="36" t="s">
        <v>31</v>
      </c>
      <c r="B3" s="36" t="s">
        <v>32</v>
      </c>
      <c r="C3" s="36" t="s">
        <v>30</v>
      </c>
      <c r="D3" s="36"/>
    </row>
    <row r="4" spans="1:5">
      <c r="A4" s="36" t="s">
        <v>33</v>
      </c>
      <c r="B4" s="36" t="s">
        <v>34</v>
      </c>
      <c r="C4" s="36" t="s">
        <v>35</v>
      </c>
      <c r="D4" s="36"/>
      <c r="E4" s="32" t="s">
        <v>36</v>
      </c>
    </row>
    <row r="5" spans="1:5">
      <c r="A5" s="36" t="s">
        <v>37</v>
      </c>
      <c r="B5" s="36" t="s">
        <v>38</v>
      </c>
      <c r="C5" s="36" t="s">
        <v>14</v>
      </c>
      <c r="D5" s="37"/>
    </row>
    <row r="6" spans="1:5">
      <c r="A6" s="36" t="s">
        <v>39</v>
      </c>
      <c r="B6" s="36" t="s">
        <v>40</v>
      </c>
      <c r="C6" s="36" t="s">
        <v>26</v>
      </c>
      <c r="D6" s="36"/>
    </row>
    <row r="7" spans="1:5">
      <c r="A7" s="36" t="s">
        <v>41</v>
      </c>
      <c r="B7" s="36" t="s">
        <v>42</v>
      </c>
      <c r="C7" s="36" t="s">
        <v>26</v>
      </c>
      <c r="D7" s="36"/>
    </row>
    <row r="8" spans="1:5">
      <c r="A8" s="36" t="s">
        <v>43</v>
      </c>
      <c r="B8" s="36" t="s">
        <v>44</v>
      </c>
      <c r="C8" s="36" t="s">
        <v>35</v>
      </c>
      <c r="D8" s="36"/>
    </row>
    <row r="9" spans="1:5">
      <c r="A9" s="36" t="s">
        <v>45</v>
      </c>
      <c r="B9" s="36" t="s">
        <v>46</v>
      </c>
      <c r="C9" s="35" t="s">
        <v>26</v>
      </c>
    </row>
    <row r="10" spans="1:5">
      <c r="A10" s="36" t="s">
        <v>47</v>
      </c>
      <c r="B10" s="36" t="s">
        <v>48</v>
      </c>
      <c r="C10" s="35" t="s">
        <v>14</v>
      </c>
    </row>
    <row r="11" spans="1:5">
      <c r="A11" s="36" t="s">
        <v>49</v>
      </c>
      <c r="B11" s="36" t="s">
        <v>50</v>
      </c>
      <c r="C11" s="35" t="s">
        <v>35</v>
      </c>
    </row>
    <row r="12" spans="1:5">
      <c r="A12" s="36" t="s">
        <v>51</v>
      </c>
      <c r="B12" s="36" t="s">
        <v>52</v>
      </c>
      <c r="C12" s="35" t="s">
        <v>35</v>
      </c>
    </row>
    <row r="13" spans="1:5">
      <c r="A13" s="36" t="s">
        <v>53</v>
      </c>
      <c r="B13" s="36" t="s">
        <v>54</v>
      </c>
      <c r="C13" s="35" t="s">
        <v>35</v>
      </c>
    </row>
    <row r="14" spans="1:5">
      <c r="A14" s="36" t="s">
        <v>55</v>
      </c>
      <c r="B14" s="36" t="s">
        <v>56</v>
      </c>
      <c r="C14" s="35" t="s">
        <v>35</v>
      </c>
    </row>
    <row r="15" spans="1:5">
      <c r="A15" s="36" t="s">
        <v>57</v>
      </c>
      <c r="B15" s="36" t="s">
        <v>58</v>
      </c>
      <c r="C15" s="35" t="s">
        <v>35</v>
      </c>
    </row>
    <row r="16" spans="1:5">
      <c r="A16" s="36" t="s">
        <v>59</v>
      </c>
      <c r="B16" s="36" t="s">
        <v>60</v>
      </c>
      <c r="C16" s="35" t="s">
        <v>35</v>
      </c>
    </row>
    <row r="17" spans="1:3">
      <c r="A17" s="36" t="s">
        <v>61</v>
      </c>
      <c r="B17" s="36" t="s">
        <v>62</v>
      </c>
      <c r="C17" s="35" t="s">
        <v>26</v>
      </c>
    </row>
    <row r="18" spans="1:3">
      <c r="A18" s="36" t="s">
        <v>63</v>
      </c>
      <c r="B18" s="36" t="s">
        <v>64</v>
      </c>
      <c r="C18" s="35" t="s">
        <v>65</v>
      </c>
    </row>
    <row r="19" spans="1:3">
      <c r="A19" s="36" t="s">
        <v>66</v>
      </c>
      <c r="B19" s="36" t="s">
        <v>67</v>
      </c>
      <c r="C19" s="35" t="s">
        <v>35</v>
      </c>
    </row>
    <row r="20" spans="1:3">
      <c r="A20" s="36" t="s">
        <v>68</v>
      </c>
      <c r="B20" s="36" t="s">
        <v>69</v>
      </c>
      <c r="C20" s="35" t="s">
        <v>35</v>
      </c>
    </row>
    <row r="21" spans="1:3">
      <c r="A21" s="36" t="s">
        <v>70</v>
      </c>
      <c r="B21" s="36" t="s">
        <v>71</v>
      </c>
      <c r="C21" s="35" t="s">
        <v>35</v>
      </c>
    </row>
    <row r="22" spans="1:3">
      <c r="A22" s="36" t="s">
        <v>72</v>
      </c>
      <c r="B22" s="36" t="s">
        <v>73</v>
      </c>
      <c r="C22" s="35" t="s">
        <v>35</v>
      </c>
    </row>
    <row r="23" spans="1:3">
      <c r="A23" s="36" t="s">
        <v>74</v>
      </c>
      <c r="B23" s="36" t="s">
        <v>75</v>
      </c>
      <c r="C23" s="35" t="s">
        <v>35</v>
      </c>
    </row>
    <row r="24" spans="1:3">
      <c r="A24" s="36" t="s">
        <v>76</v>
      </c>
      <c r="B24" s="36" t="s">
        <v>77</v>
      </c>
      <c r="C24" s="35" t="s">
        <v>35</v>
      </c>
    </row>
    <row r="25" spans="1:3">
      <c r="A25" s="36" t="s">
        <v>78</v>
      </c>
      <c r="B25" s="36" t="s">
        <v>79</v>
      </c>
      <c r="C25" s="35" t="s">
        <v>14</v>
      </c>
    </row>
    <row r="26" spans="1:3">
      <c r="A26" s="36" t="s">
        <v>80</v>
      </c>
      <c r="B26" s="36" t="s">
        <v>81</v>
      </c>
      <c r="C26" s="35" t="s">
        <v>35</v>
      </c>
    </row>
    <row r="27" spans="1:3">
      <c r="A27" s="36" t="s">
        <v>82</v>
      </c>
      <c r="B27" s="36" t="s">
        <v>83</v>
      </c>
      <c r="C27" s="35" t="s">
        <v>35</v>
      </c>
    </row>
    <row r="28" spans="1:3">
      <c r="A28" s="36" t="s">
        <v>84</v>
      </c>
      <c r="B28" s="36" t="s">
        <v>85</v>
      </c>
      <c r="C28" s="35" t="s">
        <v>35</v>
      </c>
    </row>
    <row r="29" spans="1:3">
      <c r="A29" s="36" t="s">
        <v>86</v>
      </c>
      <c r="B29" s="36" t="s">
        <v>87</v>
      </c>
      <c r="C29" s="35" t="s">
        <v>35</v>
      </c>
    </row>
    <row r="30" spans="1:3">
      <c r="A30" s="36" t="s">
        <v>88</v>
      </c>
      <c r="B30" s="36" t="s">
        <v>89</v>
      </c>
      <c r="C30" s="35" t="s">
        <v>35</v>
      </c>
    </row>
    <row r="31" spans="1:3">
      <c r="A31" s="36" t="s">
        <v>90</v>
      </c>
      <c r="B31" s="36" t="s">
        <v>91</v>
      </c>
      <c r="C31" s="35" t="s">
        <v>65</v>
      </c>
    </row>
    <row r="32" spans="1:3">
      <c r="A32" s="36" t="s">
        <v>92</v>
      </c>
      <c r="B32" s="36" t="s">
        <v>93</v>
      </c>
      <c r="C32" s="35" t="s">
        <v>35</v>
      </c>
    </row>
    <row r="33" spans="1:3">
      <c r="A33" s="36" t="s">
        <v>94</v>
      </c>
      <c r="B33" s="36" t="s">
        <v>95</v>
      </c>
      <c r="C33" s="35" t="s">
        <v>35</v>
      </c>
    </row>
    <row r="34" spans="1:3">
      <c r="A34" s="36" t="s">
        <v>96</v>
      </c>
      <c r="B34" s="36" t="s">
        <v>97</v>
      </c>
      <c r="C34" s="35" t="s">
        <v>35</v>
      </c>
    </row>
    <row r="35" spans="1:3">
      <c r="A35" s="36" t="s">
        <v>98</v>
      </c>
      <c r="B35" s="36" t="s">
        <v>99</v>
      </c>
      <c r="C35" s="35" t="s">
        <v>35</v>
      </c>
    </row>
    <row r="36" spans="1:3">
      <c r="A36" s="36" t="s">
        <v>100</v>
      </c>
      <c r="B36" s="36" t="s">
        <v>101</v>
      </c>
      <c r="C36" s="35" t="s">
        <v>26</v>
      </c>
    </row>
    <row r="37" spans="1:3">
      <c r="A37" s="36" t="s">
        <v>102</v>
      </c>
      <c r="B37" s="36" t="s">
        <v>103</v>
      </c>
      <c r="C37" s="35" t="s">
        <v>26</v>
      </c>
    </row>
    <row r="38" spans="1:3">
      <c r="A38" s="36" t="s">
        <v>104</v>
      </c>
      <c r="B38" s="36" t="s">
        <v>105</v>
      </c>
      <c r="C38" s="35" t="s">
        <v>35</v>
      </c>
    </row>
    <row r="39" spans="1:3">
      <c r="A39" s="36" t="s">
        <v>106</v>
      </c>
      <c r="B39" s="36" t="s">
        <v>107</v>
      </c>
      <c r="C39" s="35" t="s">
        <v>35</v>
      </c>
    </row>
    <row r="40" spans="1:3">
      <c r="A40" s="36" t="s">
        <v>108</v>
      </c>
      <c r="B40" s="36" t="s">
        <v>109</v>
      </c>
      <c r="C40" s="35" t="s">
        <v>35</v>
      </c>
    </row>
    <row r="41" spans="1:3">
      <c r="A41" s="36" t="s">
        <v>110</v>
      </c>
      <c r="B41" s="36" t="s">
        <v>111</v>
      </c>
      <c r="C41" s="35" t="s">
        <v>35</v>
      </c>
    </row>
    <row r="42" spans="1:3">
      <c r="A42" s="36" t="s">
        <v>112</v>
      </c>
      <c r="B42" s="36" t="s">
        <v>113</v>
      </c>
      <c r="C42" s="35" t="s">
        <v>14</v>
      </c>
    </row>
    <row r="43" spans="1:3">
      <c r="A43" s="36" t="s">
        <v>114</v>
      </c>
      <c r="B43" s="36" t="s">
        <v>115</v>
      </c>
      <c r="C43" s="35" t="s">
        <v>65</v>
      </c>
    </row>
    <row r="44" spans="1:3">
      <c r="A44" s="36" t="s">
        <v>116</v>
      </c>
      <c r="B44" s="36" t="s">
        <v>117</v>
      </c>
      <c r="C44" s="35" t="s">
        <v>9</v>
      </c>
    </row>
    <row r="45" spans="1:3">
      <c r="A45" s="36" t="s">
        <v>118</v>
      </c>
      <c r="B45" s="36" t="s">
        <v>119</v>
      </c>
      <c r="C45" s="35" t="s">
        <v>35</v>
      </c>
    </row>
    <row r="46" spans="1:3">
      <c r="A46" s="36" t="s">
        <v>120</v>
      </c>
      <c r="B46" s="36" t="s">
        <v>121</v>
      </c>
      <c r="C46" s="35" t="s">
        <v>35</v>
      </c>
    </row>
    <row r="47" spans="1:3">
      <c r="A47" s="36" t="s">
        <v>122</v>
      </c>
      <c r="B47" s="36" t="s">
        <v>123</v>
      </c>
      <c r="C47" s="35" t="s">
        <v>35</v>
      </c>
    </row>
    <row r="48" spans="1:3">
      <c r="A48" s="36" t="s">
        <v>124</v>
      </c>
      <c r="B48" s="36" t="s">
        <v>125</v>
      </c>
      <c r="C48" s="35" t="s">
        <v>26</v>
      </c>
    </row>
    <row r="49" spans="1:3">
      <c r="A49" s="36" t="s">
        <v>126</v>
      </c>
      <c r="B49" s="36" t="s">
        <v>127</v>
      </c>
      <c r="C49" s="35" t="s">
        <v>35</v>
      </c>
    </row>
    <row r="50" spans="1:3">
      <c r="A50" s="36" t="s">
        <v>128</v>
      </c>
      <c r="B50" s="36" t="s">
        <v>129</v>
      </c>
      <c r="C50" s="35" t="s">
        <v>26</v>
      </c>
    </row>
    <row r="51" spans="1:3">
      <c r="A51" s="36" t="s">
        <v>130</v>
      </c>
      <c r="B51" s="36" t="s">
        <v>131</v>
      </c>
      <c r="C51" s="35" t="s">
        <v>14</v>
      </c>
    </row>
    <row r="52" spans="1:3">
      <c r="A52" s="36" t="s">
        <v>132</v>
      </c>
      <c r="B52" s="36" t="s">
        <v>133</v>
      </c>
      <c r="C52" s="35" t="s">
        <v>35</v>
      </c>
    </row>
    <row r="53" spans="1:3">
      <c r="A53" s="36" t="s">
        <v>134</v>
      </c>
      <c r="B53" s="36" t="s">
        <v>135</v>
      </c>
      <c r="C53" s="35" t="s">
        <v>35</v>
      </c>
    </row>
    <row r="54" spans="1:3">
      <c r="A54" s="36" t="s">
        <v>136</v>
      </c>
      <c r="B54" s="35" t="s">
        <v>137</v>
      </c>
      <c r="C54" s="35" t="s">
        <v>14</v>
      </c>
    </row>
    <row r="55" spans="1:3">
      <c r="A55" s="36" t="s">
        <v>138</v>
      </c>
      <c r="B55" s="35" t="s">
        <v>139</v>
      </c>
      <c r="C55" s="35" t="s">
        <v>26</v>
      </c>
    </row>
    <row r="56" spans="1:3">
      <c r="A56" s="36" t="s">
        <v>140</v>
      </c>
      <c r="B56" s="35" t="s">
        <v>141</v>
      </c>
      <c r="C56" s="35" t="s">
        <v>26</v>
      </c>
    </row>
    <row r="57" spans="1:3">
      <c r="A57" s="36" t="s">
        <v>142</v>
      </c>
      <c r="B57" s="35" t="s">
        <v>143</v>
      </c>
      <c r="C57" s="35" t="s">
        <v>14</v>
      </c>
    </row>
    <row r="58" spans="1:3">
      <c r="A58" s="36" t="s">
        <v>144</v>
      </c>
      <c r="B58" s="35" t="s">
        <v>145</v>
      </c>
      <c r="C58" s="35" t="s">
        <v>30</v>
      </c>
    </row>
    <row r="59" spans="1:3">
      <c r="A59" s="36" t="s">
        <v>146</v>
      </c>
      <c r="B59" s="35" t="s">
        <v>147</v>
      </c>
      <c r="C59" s="35" t="s">
        <v>65</v>
      </c>
    </row>
    <row r="60" spans="1:3">
      <c r="A60" s="36" t="s">
        <v>148</v>
      </c>
      <c r="B60" s="35" t="s">
        <v>149</v>
      </c>
      <c r="C60" s="35" t="s">
        <v>14</v>
      </c>
    </row>
    <row r="61" spans="1:3">
      <c r="A61" s="36" t="s">
        <v>150</v>
      </c>
      <c r="B61" s="35" t="s">
        <v>151</v>
      </c>
      <c r="C61" s="35" t="s">
        <v>30</v>
      </c>
    </row>
    <row r="62" spans="1:3">
      <c r="A62" s="36" t="s">
        <v>152</v>
      </c>
      <c r="B62" s="35" t="s">
        <v>153</v>
      </c>
      <c r="C62" s="35">
        <v>4</v>
      </c>
    </row>
    <row r="63" spans="1:3">
      <c r="A63" s="36" t="s">
        <v>154</v>
      </c>
      <c r="B63" s="35" t="s">
        <v>155</v>
      </c>
      <c r="C63" s="35">
        <v>4</v>
      </c>
    </row>
    <row r="64" spans="1:3">
      <c r="A64" s="36" t="s">
        <v>156</v>
      </c>
      <c r="B64" s="35" t="s">
        <v>157</v>
      </c>
      <c r="C64" s="35">
        <v>4</v>
      </c>
    </row>
    <row r="65" spans="1:5">
      <c r="A65" s="36" t="s">
        <v>158</v>
      </c>
      <c r="B65" s="35" t="s">
        <v>159</v>
      </c>
      <c r="C65" s="35">
        <v>4</v>
      </c>
    </row>
    <row r="66" spans="1:5">
      <c r="A66" s="36" t="s">
        <v>160</v>
      </c>
      <c r="B66" s="35" t="s">
        <v>161</v>
      </c>
      <c r="C66" s="35">
        <v>3</v>
      </c>
    </row>
    <row r="67" spans="1:5">
      <c r="A67" s="36" t="s">
        <v>162</v>
      </c>
      <c r="B67" s="36" t="s">
        <v>163</v>
      </c>
      <c r="E67" s="35" t="s">
        <v>164</v>
      </c>
    </row>
    <row r="68" spans="1:5">
      <c r="A68" s="36" t="s">
        <v>165</v>
      </c>
      <c r="B68" s="36" t="s">
        <v>166</v>
      </c>
      <c r="C68" s="35">
        <v>3</v>
      </c>
    </row>
    <row r="69" spans="1:5">
      <c r="A69" s="36" t="s">
        <v>167</v>
      </c>
      <c r="B69" s="36" t="s">
        <v>168</v>
      </c>
      <c r="C69" s="35">
        <v>3</v>
      </c>
    </row>
    <row r="70" spans="1:5">
      <c r="A70" s="36" t="s">
        <v>169</v>
      </c>
      <c r="B70" s="35" t="s">
        <v>170</v>
      </c>
      <c r="C70" s="35">
        <v>5</v>
      </c>
    </row>
    <row r="71" spans="1:5">
      <c r="A71" s="36" t="s">
        <v>171</v>
      </c>
      <c r="B71" s="35" t="s">
        <v>172</v>
      </c>
      <c r="C71" s="35">
        <v>5.5</v>
      </c>
    </row>
    <row r="72" spans="1:5">
      <c r="A72" s="36" t="s">
        <v>173</v>
      </c>
      <c r="B72" s="35" t="s">
        <v>174</v>
      </c>
      <c r="C72" s="35">
        <v>5.5</v>
      </c>
    </row>
    <row r="73" spans="1:5">
      <c r="A73" s="36" t="s">
        <v>175</v>
      </c>
      <c r="B73" s="35" t="s">
        <v>176</v>
      </c>
      <c r="C73" s="35">
        <v>5.5</v>
      </c>
    </row>
    <row r="74" spans="1:5">
      <c r="A74" s="36" t="s">
        <v>177</v>
      </c>
      <c r="B74" s="35" t="s">
        <v>178</v>
      </c>
      <c r="C74" s="35">
        <v>5.5</v>
      </c>
    </row>
    <row r="75" spans="1:5">
      <c r="A75" s="36" t="s">
        <v>179</v>
      </c>
      <c r="B75" s="35" t="s">
        <v>180</v>
      </c>
      <c r="C75" s="35">
        <v>5.5</v>
      </c>
    </row>
    <row r="76" spans="1:5">
      <c r="A76" s="36" t="s">
        <v>181</v>
      </c>
      <c r="B76" s="35" t="s">
        <v>182</v>
      </c>
      <c r="C76" s="35">
        <v>5.5</v>
      </c>
    </row>
    <row r="77" spans="1:5">
      <c r="A77" s="36" t="s">
        <v>183</v>
      </c>
      <c r="B77" s="35" t="s">
        <v>184</v>
      </c>
      <c r="C77" s="35">
        <v>5.5</v>
      </c>
    </row>
    <row r="78" spans="1:5">
      <c r="A78" s="36" t="s">
        <v>185</v>
      </c>
      <c r="B78" s="35" t="s">
        <v>186</v>
      </c>
      <c r="C78" s="35">
        <v>5</v>
      </c>
    </row>
    <row r="79" spans="1:5">
      <c r="A79" s="36" t="s">
        <v>187</v>
      </c>
      <c r="B79" s="35" t="s">
        <v>188</v>
      </c>
      <c r="C79" s="35">
        <v>4</v>
      </c>
    </row>
    <row r="80" spans="1:5">
      <c r="A80" s="36" t="s">
        <v>189</v>
      </c>
      <c r="B80" s="35" t="s">
        <v>190</v>
      </c>
      <c r="C80" s="35">
        <v>5.5</v>
      </c>
    </row>
    <row r="81" spans="1:5">
      <c r="A81" s="36" t="s">
        <v>191</v>
      </c>
      <c r="B81" s="35" t="s">
        <v>192</v>
      </c>
      <c r="C81" s="35">
        <v>5.5</v>
      </c>
    </row>
    <row r="82" spans="1:5">
      <c r="A82" s="36" t="s">
        <v>193</v>
      </c>
      <c r="B82" s="35" t="s">
        <v>194</v>
      </c>
      <c r="C82" s="35">
        <v>5.5</v>
      </c>
    </row>
    <row r="83" spans="1:5">
      <c r="A83" s="36" t="s">
        <v>195</v>
      </c>
      <c r="B83" s="35" t="s">
        <v>196</v>
      </c>
      <c r="C83" s="35">
        <v>5.5</v>
      </c>
      <c r="E83" s="35" t="s">
        <v>197</v>
      </c>
    </row>
    <row r="84" spans="1:5">
      <c r="A84" s="36" t="s">
        <v>198</v>
      </c>
      <c r="B84" s="35" t="s">
        <v>199</v>
      </c>
      <c r="C84" s="35">
        <v>2.5</v>
      </c>
    </row>
    <row r="85" spans="1:5">
      <c r="A85" s="36" t="s">
        <v>200</v>
      </c>
      <c r="B85" s="35" t="s">
        <v>201</v>
      </c>
      <c r="C85" s="35">
        <v>2.5</v>
      </c>
    </row>
    <row r="86" spans="1:5">
      <c r="A86" s="36" t="s">
        <v>202</v>
      </c>
      <c r="B86" s="35" t="s">
        <v>203</v>
      </c>
      <c r="C86" s="35">
        <v>5</v>
      </c>
    </row>
    <row r="87" spans="1:5">
      <c r="A87" s="36" t="s">
        <v>204</v>
      </c>
      <c r="B87" s="35" t="s">
        <v>205</v>
      </c>
      <c r="C87" s="35">
        <v>3</v>
      </c>
    </row>
    <row r="88" spans="1:5">
      <c r="A88" s="36" t="s">
        <v>206</v>
      </c>
      <c r="B88" s="36" t="s">
        <v>207</v>
      </c>
      <c r="C88" s="35">
        <v>3</v>
      </c>
    </row>
    <row r="89" spans="1:5">
      <c r="A89" s="36" t="s">
        <v>208</v>
      </c>
      <c r="B89" s="36" t="s">
        <v>209</v>
      </c>
      <c r="C89" s="35">
        <v>5</v>
      </c>
      <c r="E89" s="35" t="s">
        <v>210</v>
      </c>
    </row>
    <row r="90" spans="1:5">
      <c r="A90" s="36" t="s">
        <v>211</v>
      </c>
      <c r="B90" s="36" t="s">
        <v>212</v>
      </c>
      <c r="C90" s="35">
        <v>5.5</v>
      </c>
      <c r="E90" s="35" t="s">
        <v>210</v>
      </c>
    </row>
    <row r="91" spans="1:5">
      <c r="A91" s="36" t="s">
        <v>213</v>
      </c>
      <c r="B91" s="36" t="s">
        <v>214</v>
      </c>
      <c r="C91" s="35">
        <v>3</v>
      </c>
      <c r="E91" s="35" t="s">
        <v>215</v>
      </c>
    </row>
    <row r="92" spans="1:5">
      <c r="A92" s="36" t="s">
        <v>216</v>
      </c>
      <c r="B92" s="36" t="s">
        <v>217</v>
      </c>
      <c r="C92" s="35">
        <v>5.5</v>
      </c>
    </row>
    <row r="93" spans="1:5">
      <c r="A93" s="36" t="s">
        <v>218</v>
      </c>
      <c r="B93" s="36" t="s">
        <v>219</v>
      </c>
      <c r="C93" s="35">
        <v>5.5</v>
      </c>
      <c r="E93" s="35" t="s">
        <v>220</v>
      </c>
    </row>
    <row r="94" spans="1:5">
      <c r="A94" s="36" t="s">
        <v>221</v>
      </c>
      <c r="B94" s="36" t="s">
        <v>222</v>
      </c>
      <c r="C94" s="35">
        <v>5</v>
      </c>
      <c r="E94" s="35" t="s">
        <v>220</v>
      </c>
    </row>
    <row r="95" spans="1:5">
      <c r="A95" s="36" t="s">
        <v>223</v>
      </c>
      <c r="B95" s="36" t="s">
        <v>224</v>
      </c>
      <c r="C95" s="35">
        <v>5.5</v>
      </c>
      <c r="E95" s="35" t="s">
        <v>225</v>
      </c>
    </row>
    <row r="96" spans="1:5">
      <c r="A96" s="36" t="s">
        <v>226</v>
      </c>
      <c r="B96" s="36" t="s">
        <v>227</v>
      </c>
      <c r="C96" s="35">
        <v>5</v>
      </c>
    </row>
    <row r="97" spans="1:3">
      <c r="A97" s="36" t="s">
        <v>228</v>
      </c>
      <c r="B97" s="36" t="s">
        <v>229</v>
      </c>
      <c r="C97" s="35">
        <v>5</v>
      </c>
    </row>
    <row r="98" spans="1:3">
      <c r="A98" s="36" t="s">
        <v>230</v>
      </c>
      <c r="B98" s="36" t="s">
        <v>231</v>
      </c>
      <c r="C98" s="35">
        <v>5</v>
      </c>
    </row>
    <row r="99" spans="1:3">
      <c r="A99" s="36" t="s">
        <v>232</v>
      </c>
      <c r="B99" s="36" t="s">
        <v>233</v>
      </c>
      <c r="C99" s="35">
        <v>4</v>
      </c>
    </row>
    <row r="100" spans="1:3">
      <c r="A100" s="36" t="s">
        <v>234</v>
      </c>
      <c r="B100" s="36" t="s">
        <v>235</v>
      </c>
      <c r="C100" s="35">
        <v>5.5</v>
      </c>
    </row>
    <row r="101" spans="1:3">
      <c r="A101" s="36" t="s">
        <v>236</v>
      </c>
      <c r="B101" s="36" t="s">
        <v>237</v>
      </c>
      <c r="C101" s="35">
        <v>4</v>
      </c>
    </row>
    <row r="102" spans="1:3">
      <c r="A102" s="36" t="s">
        <v>238</v>
      </c>
      <c r="B102" s="36" t="s">
        <v>239</v>
      </c>
      <c r="C102" s="35">
        <v>4</v>
      </c>
    </row>
    <row r="103" spans="1:3">
      <c r="A103" s="36" t="s">
        <v>240</v>
      </c>
      <c r="B103" s="36" t="s">
        <v>241</v>
      </c>
      <c r="C103" s="35">
        <v>4</v>
      </c>
    </row>
    <row r="104" spans="1:3">
      <c r="A104" s="36" t="s">
        <v>242</v>
      </c>
      <c r="B104" s="36" t="s">
        <v>243</v>
      </c>
      <c r="C104" s="35">
        <v>4</v>
      </c>
    </row>
    <row r="105" spans="1:3">
      <c r="A105" s="36" t="s">
        <v>244</v>
      </c>
      <c r="B105" s="36" t="s">
        <v>245</v>
      </c>
      <c r="C105" s="35">
        <v>5</v>
      </c>
    </row>
    <row r="106" spans="1:3">
      <c r="A106" s="36" t="s">
        <v>246</v>
      </c>
      <c r="B106" s="36" t="s">
        <v>247</v>
      </c>
      <c r="C106" s="35">
        <v>4</v>
      </c>
    </row>
    <row r="107" spans="1:3">
      <c r="A107" s="36" t="s">
        <v>248</v>
      </c>
      <c r="B107" s="36" t="s">
        <v>249</v>
      </c>
      <c r="C107" s="35">
        <v>4</v>
      </c>
    </row>
    <row r="108" spans="1:3">
      <c r="A108" s="36" t="s">
        <v>250</v>
      </c>
      <c r="B108" s="36" t="s">
        <v>251</v>
      </c>
      <c r="C108" s="35">
        <v>4</v>
      </c>
    </row>
    <row r="109" spans="1:3">
      <c r="A109" s="36" t="s">
        <v>252</v>
      </c>
      <c r="B109" s="36" t="s">
        <v>253</v>
      </c>
      <c r="C109" s="35">
        <v>4</v>
      </c>
    </row>
    <row r="110" spans="1:3">
      <c r="A110" s="36" t="s">
        <v>254</v>
      </c>
      <c r="B110" s="36" t="s">
        <v>255</v>
      </c>
      <c r="C110" s="35">
        <v>3</v>
      </c>
    </row>
    <row r="111" spans="1:3">
      <c r="A111" s="36" t="s">
        <v>256</v>
      </c>
      <c r="B111" s="36" t="s">
        <v>257</v>
      </c>
      <c r="C111" s="35">
        <v>5</v>
      </c>
    </row>
    <row r="112" spans="1:3">
      <c r="A112" s="36" t="s">
        <v>258</v>
      </c>
      <c r="B112" s="36" t="s">
        <v>259</v>
      </c>
      <c r="C112" s="35">
        <v>4</v>
      </c>
    </row>
    <row r="113" spans="1:3">
      <c r="A113" s="36" t="s">
        <v>260</v>
      </c>
      <c r="B113" s="36" t="s">
        <v>261</v>
      </c>
      <c r="C113" s="35">
        <v>4</v>
      </c>
    </row>
    <row r="114" spans="1:3">
      <c r="A114" s="36" t="s">
        <v>262</v>
      </c>
      <c r="B114" s="36" t="s">
        <v>263</v>
      </c>
      <c r="C114" s="35">
        <v>5</v>
      </c>
    </row>
    <row r="115" spans="1:3">
      <c r="A115" s="36" t="s">
        <v>264</v>
      </c>
      <c r="B115" s="36" t="s">
        <v>265</v>
      </c>
      <c r="C115" s="35">
        <v>4</v>
      </c>
    </row>
    <row r="116" spans="1:3">
      <c r="A116" s="36" t="s">
        <v>266</v>
      </c>
      <c r="B116" s="36" t="s">
        <v>267</v>
      </c>
      <c r="C116" s="35">
        <v>3</v>
      </c>
    </row>
    <row r="117" spans="1:3">
      <c r="A117" s="36" t="s">
        <v>268</v>
      </c>
      <c r="B117" s="36" t="s">
        <v>269</v>
      </c>
      <c r="C117" s="35">
        <v>2.5</v>
      </c>
    </row>
    <row r="118" spans="1:3">
      <c r="A118" s="36" t="s">
        <v>270</v>
      </c>
      <c r="B118" s="36" t="s">
        <v>271</v>
      </c>
      <c r="C118" s="35">
        <v>4</v>
      </c>
    </row>
    <row r="119" spans="1:3">
      <c r="A119" s="36" t="s">
        <v>272</v>
      </c>
      <c r="B119" s="36" t="s">
        <v>273</v>
      </c>
      <c r="C119" s="35">
        <v>5</v>
      </c>
    </row>
    <row r="120" spans="1:3">
      <c r="A120" s="36" t="s">
        <v>274</v>
      </c>
      <c r="B120" s="36" t="s">
        <v>275</v>
      </c>
      <c r="C120" s="35">
        <v>5</v>
      </c>
    </row>
    <row r="121" spans="1:3">
      <c r="A121" s="36" t="s">
        <v>276</v>
      </c>
      <c r="B121" s="36" t="s">
        <v>277</v>
      </c>
      <c r="C121" s="35">
        <v>5.5</v>
      </c>
    </row>
    <row r="122" spans="1:3">
      <c r="A122" s="36"/>
      <c r="B122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83F4-C770-4386-8E8A-A1ADCFB6D385}">
  <dimension ref="A1:F402"/>
  <sheetViews>
    <sheetView workbookViewId="0">
      <selection activeCell="F1" sqref="F1"/>
    </sheetView>
  </sheetViews>
  <sheetFormatPr defaultRowHeight="15.75"/>
  <cols>
    <col min="1" max="1" width="4" bestFit="1" customWidth="1"/>
    <col min="2" max="2" width="53.625" bestFit="1" customWidth="1"/>
    <col min="3" max="3" width="19.5" bestFit="1" customWidth="1"/>
    <col min="4" max="4" width="19.5" customWidth="1"/>
    <col min="5" max="5" width="22.625" bestFit="1" customWidth="1"/>
    <col min="6" max="6" width="84.875" bestFit="1" customWidth="1"/>
  </cols>
  <sheetData>
    <row r="1" spans="1:6">
      <c r="A1" s="13"/>
      <c r="B1" s="14" t="s">
        <v>0</v>
      </c>
      <c r="C1" s="2" t="s">
        <v>1</v>
      </c>
      <c r="D1" s="2" t="s">
        <v>2</v>
      </c>
      <c r="E1" s="2" t="s">
        <v>278</v>
      </c>
      <c r="F1" s="14" t="s">
        <v>3</v>
      </c>
    </row>
    <row r="2" spans="1:6">
      <c r="A2" s="13">
        <v>1</v>
      </c>
      <c r="B2" s="15" t="s">
        <v>279</v>
      </c>
      <c r="C2" s="15" t="s">
        <v>280</v>
      </c>
      <c r="D2" s="15" t="s">
        <v>35</v>
      </c>
      <c r="E2" s="15" t="s">
        <v>281</v>
      </c>
      <c r="F2" s="16" t="s">
        <v>282</v>
      </c>
    </row>
    <row r="3" spans="1:6">
      <c r="A3" s="13">
        <v>2</v>
      </c>
      <c r="B3" s="3" t="s">
        <v>283</v>
      </c>
      <c r="C3" s="3" t="s">
        <v>284</v>
      </c>
      <c r="D3" s="3" t="s">
        <v>26</v>
      </c>
      <c r="E3" s="3" t="s">
        <v>285</v>
      </c>
      <c r="F3" s="17" t="s">
        <v>286</v>
      </c>
    </row>
    <row r="4" spans="1:6">
      <c r="A4" s="13">
        <v>3</v>
      </c>
      <c r="B4" s="3" t="s">
        <v>287</v>
      </c>
      <c r="C4" s="3" t="s">
        <v>288</v>
      </c>
      <c r="D4" s="3" t="s">
        <v>35</v>
      </c>
      <c r="E4" s="3" t="s">
        <v>289</v>
      </c>
      <c r="F4" s="17" t="s">
        <v>286</v>
      </c>
    </row>
    <row r="5" spans="1:6">
      <c r="A5" s="13">
        <v>4</v>
      </c>
      <c r="B5" s="18" t="s">
        <v>290</v>
      </c>
      <c r="C5" s="18" t="s">
        <v>291</v>
      </c>
      <c r="D5" s="18" t="s">
        <v>35</v>
      </c>
      <c r="E5" s="19" t="s">
        <v>292</v>
      </c>
      <c r="F5" s="20" t="s">
        <v>293</v>
      </c>
    </row>
    <row r="6" spans="1:6">
      <c r="A6" s="13">
        <v>5</v>
      </c>
      <c r="B6" s="3" t="s">
        <v>294</v>
      </c>
      <c r="C6" s="3" t="s">
        <v>295</v>
      </c>
      <c r="D6" s="3" t="s">
        <v>26</v>
      </c>
      <c r="E6" s="3" t="s">
        <v>289</v>
      </c>
      <c r="F6" s="17" t="s">
        <v>286</v>
      </c>
    </row>
    <row r="7" spans="1:6">
      <c r="A7" s="13">
        <v>6</v>
      </c>
      <c r="B7" s="3" t="s">
        <v>296</v>
      </c>
      <c r="C7" s="3" t="s">
        <v>297</v>
      </c>
      <c r="D7" s="3" t="s">
        <v>26</v>
      </c>
      <c r="E7" s="3" t="s">
        <v>289</v>
      </c>
      <c r="F7" s="17" t="s">
        <v>286</v>
      </c>
    </row>
    <row r="8" spans="1:6">
      <c r="A8" s="13">
        <v>7</v>
      </c>
      <c r="B8" s="3" t="s">
        <v>298</v>
      </c>
      <c r="C8" s="3" t="s">
        <v>299</v>
      </c>
      <c r="D8" s="3" t="s">
        <v>26</v>
      </c>
      <c r="E8" s="3" t="s">
        <v>285</v>
      </c>
      <c r="F8" s="17" t="s">
        <v>286</v>
      </c>
    </row>
    <row r="9" spans="1:6">
      <c r="A9" s="13">
        <v>8</v>
      </c>
      <c r="B9" s="3" t="s">
        <v>300</v>
      </c>
      <c r="C9" s="3" t="s">
        <v>301</v>
      </c>
      <c r="D9" s="3" t="s">
        <v>26</v>
      </c>
      <c r="E9" s="3" t="s">
        <v>285</v>
      </c>
      <c r="F9" s="17" t="s">
        <v>286</v>
      </c>
    </row>
    <row r="10" spans="1:6">
      <c r="A10" s="13">
        <v>9</v>
      </c>
      <c r="B10" s="3" t="s">
        <v>302</v>
      </c>
      <c r="C10" s="3" t="s">
        <v>303</v>
      </c>
      <c r="D10" s="3" t="s">
        <v>26</v>
      </c>
      <c r="E10" s="3" t="s">
        <v>285</v>
      </c>
      <c r="F10" s="17" t="s">
        <v>286</v>
      </c>
    </row>
    <row r="11" spans="1:6">
      <c r="A11" s="13">
        <v>10</v>
      </c>
      <c r="B11" s="3" t="s">
        <v>304</v>
      </c>
      <c r="C11" s="3" t="s">
        <v>305</v>
      </c>
      <c r="D11" s="3" t="s">
        <v>26</v>
      </c>
      <c r="E11" s="3" t="s">
        <v>306</v>
      </c>
      <c r="F11" s="17" t="s">
        <v>286</v>
      </c>
    </row>
    <row r="12" spans="1:6">
      <c r="A12" s="13">
        <v>11</v>
      </c>
      <c r="B12" s="3" t="s">
        <v>307</v>
      </c>
      <c r="C12" s="3" t="s">
        <v>308</v>
      </c>
      <c r="D12" s="3" t="s">
        <v>35</v>
      </c>
      <c r="E12" s="13" t="s">
        <v>289</v>
      </c>
      <c r="F12" s="17" t="s">
        <v>286</v>
      </c>
    </row>
    <row r="13" spans="1:6">
      <c r="A13" s="13">
        <v>12</v>
      </c>
      <c r="B13" s="3" t="s">
        <v>309</v>
      </c>
      <c r="C13" s="3" t="s">
        <v>310</v>
      </c>
      <c r="D13" s="3" t="s">
        <v>35</v>
      </c>
      <c r="E13" s="13" t="s">
        <v>285</v>
      </c>
      <c r="F13" s="17" t="s">
        <v>286</v>
      </c>
    </row>
    <row r="14" spans="1:6">
      <c r="A14" s="13">
        <v>13</v>
      </c>
      <c r="B14" s="3" t="s">
        <v>311</v>
      </c>
      <c r="C14" s="3" t="s">
        <v>312</v>
      </c>
      <c r="D14" s="3" t="s">
        <v>35</v>
      </c>
      <c r="E14" s="3" t="s">
        <v>313</v>
      </c>
      <c r="F14" s="17" t="s">
        <v>286</v>
      </c>
    </row>
    <row r="15" spans="1:6">
      <c r="A15" s="13">
        <v>14</v>
      </c>
      <c r="B15" s="3" t="s">
        <v>314</v>
      </c>
      <c r="C15" s="3" t="s">
        <v>315</v>
      </c>
      <c r="D15" s="3" t="s">
        <v>35</v>
      </c>
      <c r="E15" s="3" t="s">
        <v>313</v>
      </c>
      <c r="F15" s="17" t="s">
        <v>286</v>
      </c>
    </row>
    <row r="16" spans="1:6">
      <c r="A16" s="13">
        <v>15</v>
      </c>
      <c r="B16" s="3" t="s">
        <v>316</v>
      </c>
      <c r="C16" s="3" t="s">
        <v>317</v>
      </c>
      <c r="D16" s="3" t="s">
        <v>35</v>
      </c>
      <c r="E16" s="3" t="s">
        <v>285</v>
      </c>
      <c r="F16" s="17" t="s">
        <v>286</v>
      </c>
    </row>
    <row r="17" spans="1:6">
      <c r="A17" s="13">
        <v>16</v>
      </c>
      <c r="B17" s="3" t="s">
        <v>318</v>
      </c>
      <c r="C17" s="3" t="s">
        <v>319</v>
      </c>
      <c r="D17" s="3" t="s">
        <v>35</v>
      </c>
      <c r="E17" s="3" t="s">
        <v>285</v>
      </c>
      <c r="F17" s="17" t="s">
        <v>286</v>
      </c>
    </row>
    <row r="18" spans="1:6">
      <c r="A18" s="13">
        <v>17</v>
      </c>
      <c r="B18" s="3" t="s">
        <v>320</v>
      </c>
      <c r="C18" s="3" t="s">
        <v>321</v>
      </c>
      <c r="D18" s="3" t="s">
        <v>35</v>
      </c>
      <c r="E18" s="3" t="s">
        <v>289</v>
      </c>
      <c r="F18" s="17" t="s">
        <v>286</v>
      </c>
    </row>
    <row r="19" spans="1:6">
      <c r="A19" s="13">
        <v>18</v>
      </c>
      <c r="B19" s="21" t="s">
        <v>322</v>
      </c>
      <c r="C19" s="21" t="s">
        <v>323</v>
      </c>
      <c r="D19" s="3" t="s">
        <v>35</v>
      </c>
      <c r="E19" s="21" t="s">
        <v>289</v>
      </c>
      <c r="F19" s="22" t="s">
        <v>286</v>
      </c>
    </row>
    <row r="20" spans="1:6">
      <c r="A20" s="13">
        <v>19</v>
      </c>
      <c r="B20" s="3" t="s">
        <v>324</v>
      </c>
      <c r="C20" s="3" t="s">
        <v>325</v>
      </c>
      <c r="D20" s="3" t="s">
        <v>26</v>
      </c>
      <c r="E20" s="13" t="s">
        <v>326</v>
      </c>
      <c r="F20" s="17" t="s">
        <v>286</v>
      </c>
    </row>
    <row r="21" spans="1:6">
      <c r="A21" s="13">
        <v>20</v>
      </c>
      <c r="B21" s="3" t="s">
        <v>327</v>
      </c>
      <c r="C21" s="3" t="s">
        <v>328</v>
      </c>
      <c r="D21" s="3" t="s">
        <v>26</v>
      </c>
      <c r="E21" s="13" t="s">
        <v>306</v>
      </c>
      <c r="F21" s="17" t="s">
        <v>286</v>
      </c>
    </row>
    <row r="22" spans="1:6">
      <c r="A22" s="13">
        <v>21</v>
      </c>
      <c r="B22" s="3" t="s">
        <v>329</v>
      </c>
      <c r="C22" s="3" t="s">
        <v>330</v>
      </c>
      <c r="D22" s="3" t="s">
        <v>26</v>
      </c>
      <c r="E22" s="13" t="s">
        <v>331</v>
      </c>
      <c r="F22" s="17" t="s">
        <v>286</v>
      </c>
    </row>
    <row r="23" spans="1:6">
      <c r="A23" s="13">
        <v>22</v>
      </c>
      <c r="B23" s="23" t="s">
        <v>332</v>
      </c>
      <c r="C23" s="23" t="s">
        <v>333</v>
      </c>
      <c r="D23" s="23" t="s">
        <v>26</v>
      </c>
      <c r="E23" s="24" t="s">
        <v>289</v>
      </c>
      <c r="F23" s="25" t="s">
        <v>334</v>
      </c>
    </row>
    <row r="24" spans="1:6">
      <c r="A24" s="13">
        <v>23</v>
      </c>
      <c r="B24" s="23" t="s">
        <v>335</v>
      </c>
      <c r="C24" s="23" t="s">
        <v>336</v>
      </c>
      <c r="D24" s="23" t="s">
        <v>26</v>
      </c>
      <c r="E24" s="24" t="s">
        <v>326</v>
      </c>
      <c r="F24" s="25" t="s">
        <v>337</v>
      </c>
    </row>
    <row r="25" spans="1:6">
      <c r="A25" s="13">
        <v>24</v>
      </c>
      <c r="B25" s="3" t="s">
        <v>338</v>
      </c>
      <c r="C25" s="3" t="s">
        <v>339</v>
      </c>
      <c r="D25" s="3" t="s">
        <v>35</v>
      </c>
      <c r="E25" s="13" t="s">
        <v>289</v>
      </c>
      <c r="F25" s="17" t="s">
        <v>286</v>
      </c>
    </row>
    <row r="26" spans="1:6">
      <c r="A26" s="13">
        <v>25</v>
      </c>
      <c r="B26" s="3" t="s">
        <v>340</v>
      </c>
      <c r="C26" s="3" t="s">
        <v>341</v>
      </c>
      <c r="D26" s="3" t="s">
        <v>35</v>
      </c>
      <c r="E26" s="13" t="s">
        <v>285</v>
      </c>
      <c r="F26" s="17" t="s">
        <v>286</v>
      </c>
    </row>
    <row r="27" spans="1:6">
      <c r="A27" s="13">
        <v>26</v>
      </c>
      <c r="B27" s="23" t="s">
        <v>342</v>
      </c>
      <c r="C27" s="23" t="s">
        <v>343</v>
      </c>
      <c r="D27" s="23"/>
      <c r="E27" s="24" t="s">
        <v>285</v>
      </c>
      <c r="F27" s="25" t="s">
        <v>344</v>
      </c>
    </row>
    <row r="28" spans="1:6">
      <c r="A28" s="13">
        <v>27</v>
      </c>
      <c r="B28" s="3" t="s">
        <v>345</v>
      </c>
      <c r="C28" s="3" t="s">
        <v>346</v>
      </c>
      <c r="D28" s="3" t="s">
        <v>35</v>
      </c>
      <c r="E28" s="13" t="s">
        <v>289</v>
      </c>
      <c r="F28" s="17" t="s">
        <v>286</v>
      </c>
    </row>
    <row r="29" spans="1:6">
      <c r="A29" s="13">
        <v>28</v>
      </c>
      <c r="B29" s="3" t="s">
        <v>347</v>
      </c>
      <c r="C29" s="3" t="s">
        <v>348</v>
      </c>
      <c r="D29" s="3" t="s">
        <v>65</v>
      </c>
      <c r="E29" s="13" t="s">
        <v>289</v>
      </c>
      <c r="F29" s="17" t="s">
        <v>286</v>
      </c>
    </row>
    <row r="30" spans="1:6">
      <c r="A30" s="13">
        <v>29</v>
      </c>
      <c r="B30" s="3" t="s">
        <v>349</v>
      </c>
      <c r="C30" s="3" t="s">
        <v>350</v>
      </c>
      <c r="D30" s="3" t="s">
        <v>35</v>
      </c>
      <c r="E30" s="13" t="s">
        <v>289</v>
      </c>
      <c r="F30" s="17" t="s">
        <v>286</v>
      </c>
    </row>
    <row r="31" spans="1:6">
      <c r="A31" s="13">
        <v>30</v>
      </c>
      <c r="B31" s="3" t="s">
        <v>351</v>
      </c>
      <c r="C31" s="3" t="s">
        <v>352</v>
      </c>
      <c r="D31" s="3" t="s">
        <v>35</v>
      </c>
      <c r="E31" s="13" t="s">
        <v>289</v>
      </c>
      <c r="F31" s="17" t="s">
        <v>286</v>
      </c>
    </row>
    <row r="32" spans="1:6">
      <c r="A32" s="13">
        <v>31</v>
      </c>
      <c r="B32" s="3" t="s">
        <v>353</v>
      </c>
      <c r="C32" s="3" t="s">
        <v>354</v>
      </c>
      <c r="D32" s="3" t="s">
        <v>35</v>
      </c>
      <c r="E32" s="13" t="s">
        <v>285</v>
      </c>
      <c r="F32" s="17" t="s">
        <v>286</v>
      </c>
    </row>
    <row r="33" spans="1:6">
      <c r="A33" s="13">
        <v>32</v>
      </c>
      <c r="B33" s="3" t="s">
        <v>355</v>
      </c>
      <c r="C33" s="3" t="s">
        <v>356</v>
      </c>
      <c r="D33" s="3" t="s">
        <v>30</v>
      </c>
      <c r="E33" s="13" t="s">
        <v>313</v>
      </c>
      <c r="F33" s="17" t="s">
        <v>286</v>
      </c>
    </row>
    <row r="34" spans="1:6">
      <c r="A34" s="13">
        <v>33</v>
      </c>
      <c r="B34" s="3" t="s">
        <v>357</v>
      </c>
      <c r="C34" s="3" t="s">
        <v>358</v>
      </c>
      <c r="D34" s="3" t="s">
        <v>35</v>
      </c>
      <c r="E34" s="13" t="s">
        <v>289</v>
      </c>
      <c r="F34" s="17" t="s">
        <v>286</v>
      </c>
    </row>
    <row r="35" spans="1:6">
      <c r="A35" s="13">
        <v>34</v>
      </c>
      <c r="B35" s="3" t="s">
        <v>359</v>
      </c>
      <c r="C35" s="3" t="s">
        <v>360</v>
      </c>
      <c r="D35" s="3" t="s">
        <v>35</v>
      </c>
      <c r="E35" s="13" t="s">
        <v>326</v>
      </c>
      <c r="F35" s="17" t="s">
        <v>286</v>
      </c>
    </row>
    <row r="36" spans="1:6">
      <c r="A36" s="13">
        <v>35</v>
      </c>
      <c r="B36" s="21" t="s">
        <v>361</v>
      </c>
      <c r="C36" s="21" t="s">
        <v>362</v>
      </c>
      <c r="D36" s="3" t="s">
        <v>35</v>
      </c>
      <c r="E36" s="26" t="s">
        <v>326</v>
      </c>
      <c r="F36" s="22" t="s">
        <v>286</v>
      </c>
    </row>
    <row r="37" spans="1:6">
      <c r="A37" s="13">
        <v>36</v>
      </c>
      <c r="B37" s="3" t="s">
        <v>363</v>
      </c>
      <c r="C37" s="13" t="s">
        <v>364</v>
      </c>
      <c r="D37" s="13" t="s">
        <v>26</v>
      </c>
      <c r="E37" s="13" t="s">
        <v>326</v>
      </c>
      <c r="F37" s="17" t="s">
        <v>286</v>
      </c>
    </row>
    <row r="38" spans="1:6">
      <c r="A38" s="13">
        <v>37</v>
      </c>
      <c r="B38" s="3" t="s">
        <v>365</v>
      </c>
      <c r="C38" s="13" t="s">
        <v>366</v>
      </c>
      <c r="D38" s="13" t="s">
        <v>26</v>
      </c>
      <c r="E38" s="13" t="s">
        <v>285</v>
      </c>
      <c r="F38" s="17" t="s">
        <v>286</v>
      </c>
    </row>
    <row r="39" spans="1:6">
      <c r="A39" s="13">
        <v>38</v>
      </c>
      <c r="B39" s="3" t="s">
        <v>367</v>
      </c>
      <c r="C39" s="13" t="s">
        <v>368</v>
      </c>
      <c r="D39" s="13" t="s">
        <v>26</v>
      </c>
      <c r="E39" s="13" t="s">
        <v>285</v>
      </c>
      <c r="F39" s="17" t="s">
        <v>286</v>
      </c>
    </row>
    <row r="40" spans="1:6">
      <c r="A40" s="13">
        <v>39</v>
      </c>
      <c r="B40" s="3" t="s">
        <v>369</v>
      </c>
      <c r="C40" s="13" t="s">
        <v>370</v>
      </c>
      <c r="D40" s="13" t="s">
        <v>26</v>
      </c>
      <c r="E40" s="13" t="s">
        <v>285</v>
      </c>
      <c r="F40" s="17" t="s">
        <v>286</v>
      </c>
    </row>
    <row r="41" spans="1:6">
      <c r="A41" s="13">
        <v>40</v>
      </c>
      <c r="B41" s="3" t="s">
        <v>371</v>
      </c>
      <c r="C41" s="13" t="s">
        <v>372</v>
      </c>
      <c r="D41" s="13" t="s">
        <v>26</v>
      </c>
      <c r="E41" s="13" t="s">
        <v>285</v>
      </c>
      <c r="F41" s="17" t="s">
        <v>286</v>
      </c>
    </row>
    <row r="42" spans="1:6">
      <c r="A42" s="13">
        <v>41</v>
      </c>
      <c r="B42" s="3" t="s">
        <v>373</v>
      </c>
      <c r="C42" s="13" t="s">
        <v>374</v>
      </c>
      <c r="D42" s="13" t="s">
        <v>26</v>
      </c>
      <c r="E42" s="13" t="s">
        <v>306</v>
      </c>
      <c r="F42" s="17" t="s">
        <v>286</v>
      </c>
    </row>
    <row r="43" spans="1:6">
      <c r="A43" s="13">
        <v>42</v>
      </c>
      <c r="B43" s="3" t="s">
        <v>375</v>
      </c>
      <c r="C43" s="13" t="s">
        <v>376</v>
      </c>
      <c r="D43" s="13" t="s">
        <v>26</v>
      </c>
      <c r="E43" s="13" t="s">
        <v>331</v>
      </c>
      <c r="F43" s="17" t="s">
        <v>286</v>
      </c>
    </row>
    <row r="44" spans="1:6">
      <c r="A44" s="13">
        <v>43</v>
      </c>
      <c r="B44" s="3" t="s">
        <v>377</v>
      </c>
      <c r="C44" s="13" t="s">
        <v>378</v>
      </c>
      <c r="D44" s="13" t="s">
        <v>26</v>
      </c>
      <c r="E44" s="13" t="s">
        <v>379</v>
      </c>
      <c r="F44" s="17" t="s">
        <v>286</v>
      </c>
    </row>
    <row r="45" spans="1:6">
      <c r="A45" s="13">
        <v>44</v>
      </c>
      <c r="B45" s="3" t="s">
        <v>380</v>
      </c>
      <c r="C45" s="13" t="s">
        <v>381</v>
      </c>
      <c r="D45" s="13" t="s">
        <v>35</v>
      </c>
      <c r="E45" s="13" t="s">
        <v>382</v>
      </c>
      <c r="F45" s="17" t="s">
        <v>286</v>
      </c>
    </row>
    <row r="46" spans="1:6">
      <c r="A46" s="13">
        <v>45</v>
      </c>
      <c r="B46" s="3" t="s">
        <v>383</v>
      </c>
      <c r="C46" s="13" t="s">
        <v>384</v>
      </c>
      <c r="D46" s="13" t="s">
        <v>26</v>
      </c>
      <c r="E46" s="13" t="s">
        <v>385</v>
      </c>
      <c r="F46" s="17" t="s">
        <v>286</v>
      </c>
    </row>
    <row r="47" spans="1:6">
      <c r="A47" s="13">
        <v>46</v>
      </c>
      <c r="B47" s="3" t="s">
        <v>386</v>
      </c>
      <c r="C47" s="13" t="s">
        <v>387</v>
      </c>
      <c r="D47" s="13" t="s">
        <v>35</v>
      </c>
      <c r="E47" s="13" t="s">
        <v>285</v>
      </c>
      <c r="F47" s="17" t="s">
        <v>286</v>
      </c>
    </row>
    <row r="48" spans="1:6">
      <c r="A48" s="13">
        <v>47</v>
      </c>
      <c r="B48" s="3" t="s">
        <v>388</v>
      </c>
      <c r="C48" s="13" t="s">
        <v>389</v>
      </c>
      <c r="D48" s="13" t="s">
        <v>35</v>
      </c>
      <c r="E48" s="13" t="s">
        <v>285</v>
      </c>
      <c r="F48" s="17" t="s">
        <v>286</v>
      </c>
    </row>
    <row r="49" spans="1:6">
      <c r="A49" s="13">
        <v>48</v>
      </c>
      <c r="B49" s="3" t="s">
        <v>390</v>
      </c>
      <c r="C49" s="13" t="s">
        <v>391</v>
      </c>
      <c r="D49" s="13" t="s">
        <v>35</v>
      </c>
      <c r="E49" s="13" t="s">
        <v>289</v>
      </c>
      <c r="F49" s="17" t="s">
        <v>286</v>
      </c>
    </row>
    <row r="50" spans="1:6">
      <c r="A50" s="13">
        <v>49</v>
      </c>
      <c r="B50" s="3" t="s">
        <v>392</v>
      </c>
      <c r="C50" s="13" t="s">
        <v>393</v>
      </c>
      <c r="D50" s="13" t="s">
        <v>26</v>
      </c>
      <c r="E50" s="13" t="s">
        <v>285</v>
      </c>
      <c r="F50" s="17" t="s">
        <v>394</v>
      </c>
    </row>
    <row r="51" spans="1:6">
      <c r="A51" s="13">
        <v>50</v>
      </c>
      <c r="B51" s="3" t="s">
        <v>395</v>
      </c>
      <c r="C51" s="13" t="s">
        <v>396</v>
      </c>
      <c r="D51" s="13" t="s">
        <v>35</v>
      </c>
      <c r="E51" s="13" t="s">
        <v>306</v>
      </c>
      <c r="F51" s="17" t="s">
        <v>397</v>
      </c>
    </row>
    <row r="52" spans="1:6">
      <c r="A52" s="13">
        <v>51</v>
      </c>
      <c r="B52" s="3" t="s">
        <v>398</v>
      </c>
      <c r="C52" s="13" t="s">
        <v>399</v>
      </c>
      <c r="D52" s="13" t="s">
        <v>35</v>
      </c>
      <c r="E52" s="13" t="s">
        <v>306</v>
      </c>
      <c r="F52" s="17" t="s">
        <v>286</v>
      </c>
    </row>
    <row r="53" spans="1:6">
      <c r="A53" s="13">
        <v>52</v>
      </c>
      <c r="B53" s="3" t="s">
        <v>400</v>
      </c>
      <c r="C53" s="13" t="s">
        <v>401</v>
      </c>
      <c r="D53" s="13" t="s">
        <v>35</v>
      </c>
      <c r="E53" s="13" t="s">
        <v>289</v>
      </c>
      <c r="F53" s="17" t="s">
        <v>286</v>
      </c>
    </row>
    <row r="54" spans="1:6">
      <c r="A54" s="13">
        <v>53</v>
      </c>
      <c r="B54" s="3" t="s">
        <v>402</v>
      </c>
      <c r="C54" s="13" t="s">
        <v>403</v>
      </c>
      <c r="D54" s="13" t="s">
        <v>35</v>
      </c>
      <c r="E54" s="13" t="s">
        <v>313</v>
      </c>
      <c r="F54" s="17" t="s">
        <v>286</v>
      </c>
    </row>
    <row r="55" spans="1:6">
      <c r="A55" s="13">
        <v>54</v>
      </c>
      <c r="B55" s="3" t="s">
        <v>404</v>
      </c>
      <c r="C55" s="13" t="s">
        <v>405</v>
      </c>
      <c r="D55" s="13" t="s">
        <v>35</v>
      </c>
      <c r="E55" s="13" t="s">
        <v>313</v>
      </c>
      <c r="F55" s="17" t="s">
        <v>286</v>
      </c>
    </row>
    <row r="56" spans="1:6">
      <c r="A56" s="13">
        <v>55</v>
      </c>
      <c r="B56" s="21" t="s">
        <v>406</v>
      </c>
      <c r="C56" s="26" t="s">
        <v>407</v>
      </c>
      <c r="D56" s="13" t="s">
        <v>35</v>
      </c>
      <c r="E56" s="26" t="s">
        <v>326</v>
      </c>
      <c r="F56" s="22" t="s">
        <v>286</v>
      </c>
    </row>
    <row r="57" spans="1:6">
      <c r="A57" s="13">
        <v>56</v>
      </c>
      <c r="B57" s="3" t="s">
        <v>408</v>
      </c>
      <c r="C57" s="13" t="s">
        <v>409</v>
      </c>
      <c r="D57" s="13" t="s">
        <v>35</v>
      </c>
      <c r="E57" s="13" t="s">
        <v>289</v>
      </c>
      <c r="F57" s="17" t="s">
        <v>410</v>
      </c>
    </row>
    <row r="58" spans="1:6">
      <c r="A58" s="13">
        <v>57</v>
      </c>
      <c r="B58" s="3" t="s">
        <v>411</v>
      </c>
      <c r="C58" s="13" t="s">
        <v>412</v>
      </c>
      <c r="D58" s="13" t="s">
        <v>65</v>
      </c>
      <c r="E58" s="13" t="s">
        <v>285</v>
      </c>
      <c r="F58" s="17" t="s">
        <v>413</v>
      </c>
    </row>
    <row r="59" spans="1:6">
      <c r="A59" s="13">
        <v>58</v>
      </c>
      <c r="B59" s="23" t="s">
        <v>414</v>
      </c>
      <c r="C59" s="24" t="s">
        <v>415</v>
      </c>
      <c r="D59" s="24"/>
      <c r="E59" s="24" t="s">
        <v>285</v>
      </c>
      <c r="F59" s="25" t="s">
        <v>416</v>
      </c>
    </row>
    <row r="60" spans="1:6">
      <c r="A60" s="13">
        <v>59</v>
      </c>
      <c r="B60" s="3" t="s">
        <v>417</v>
      </c>
      <c r="C60" s="13" t="s">
        <v>418</v>
      </c>
      <c r="D60" s="13" t="s">
        <v>35</v>
      </c>
      <c r="E60" s="13" t="s">
        <v>313</v>
      </c>
      <c r="F60" s="17" t="s">
        <v>286</v>
      </c>
    </row>
    <row r="61" spans="1:6">
      <c r="A61" s="13">
        <v>60</v>
      </c>
      <c r="B61" s="23" t="s">
        <v>419</v>
      </c>
      <c r="C61" s="24" t="s">
        <v>420</v>
      </c>
      <c r="D61" s="13" t="s">
        <v>35</v>
      </c>
      <c r="E61" s="24" t="s">
        <v>289</v>
      </c>
      <c r="F61" s="25" t="s">
        <v>421</v>
      </c>
    </row>
    <row r="62" spans="1:6">
      <c r="A62" s="13">
        <v>61</v>
      </c>
      <c r="B62" s="23" t="s">
        <v>422</v>
      </c>
      <c r="C62" s="24" t="s">
        <v>423</v>
      </c>
      <c r="D62" s="13" t="s">
        <v>35</v>
      </c>
      <c r="E62" s="24" t="s">
        <v>313</v>
      </c>
      <c r="F62" s="25" t="s">
        <v>424</v>
      </c>
    </row>
    <row r="63" spans="1:6">
      <c r="A63" s="13">
        <v>62</v>
      </c>
      <c r="B63" s="3" t="s">
        <v>425</v>
      </c>
      <c r="C63" s="13" t="s">
        <v>426</v>
      </c>
      <c r="D63" s="13" t="s">
        <v>35</v>
      </c>
      <c r="E63" s="13" t="s">
        <v>289</v>
      </c>
      <c r="F63" s="17" t="s">
        <v>286</v>
      </c>
    </row>
    <row r="64" spans="1:6">
      <c r="A64" s="13">
        <v>63</v>
      </c>
      <c r="B64" s="3" t="s">
        <v>427</v>
      </c>
      <c r="C64" s="13" t="s">
        <v>428</v>
      </c>
      <c r="D64" s="13" t="s">
        <v>35</v>
      </c>
      <c r="E64" s="13" t="s">
        <v>285</v>
      </c>
      <c r="F64" s="17" t="s">
        <v>286</v>
      </c>
    </row>
    <row r="65" spans="1:6">
      <c r="A65" s="13">
        <v>64</v>
      </c>
      <c r="B65" s="3" t="s">
        <v>429</v>
      </c>
      <c r="C65" s="13" t="s">
        <v>430</v>
      </c>
      <c r="D65" s="13" t="s">
        <v>35</v>
      </c>
      <c r="E65" s="13" t="s">
        <v>285</v>
      </c>
      <c r="F65" s="17" t="s">
        <v>286</v>
      </c>
    </row>
    <row r="66" spans="1:6">
      <c r="A66" s="13">
        <v>65</v>
      </c>
      <c r="B66" s="3" t="s">
        <v>431</v>
      </c>
      <c r="C66" s="13" t="s">
        <v>432</v>
      </c>
      <c r="D66" s="13" t="s">
        <v>26</v>
      </c>
      <c r="E66" s="13" t="s">
        <v>306</v>
      </c>
      <c r="F66" s="17" t="s">
        <v>433</v>
      </c>
    </row>
    <row r="67" spans="1:6">
      <c r="A67" s="13">
        <v>66</v>
      </c>
      <c r="B67" s="3" t="s">
        <v>434</v>
      </c>
      <c r="C67" s="13" t="s">
        <v>435</v>
      </c>
      <c r="D67" s="13" t="s">
        <v>26</v>
      </c>
      <c r="E67" s="13" t="s">
        <v>331</v>
      </c>
      <c r="F67" s="17" t="s">
        <v>433</v>
      </c>
    </row>
    <row r="68" spans="1:6">
      <c r="A68" s="13">
        <v>67</v>
      </c>
      <c r="B68" s="3" t="s">
        <v>436</v>
      </c>
      <c r="C68" s="13" t="s">
        <v>437</v>
      </c>
      <c r="D68" s="13" t="s">
        <v>26</v>
      </c>
      <c r="E68" s="13" t="s">
        <v>379</v>
      </c>
      <c r="F68" s="17" t="s">
        <v>433</v>
      </c>
    </row>
    <row r="69" spans="1:6">
      <c r="A69" s="13">
        <v>68</v>
      </c>
      <c r="B69" s="18" t="s">
        <v>438</v>
      </c>
      <c r="C69" s="19" t="s">
        <v>439</v>
      </c>
      <c r="D69" s="19" t="s">
        <v>26</v>
      </c>
      <c r="E69" s="19" t="s">
        <v>379</v>
      </c>
      <c r="F69" s="20" t="s">
        <v>440</v>
      </c>
    </row>
    <row r="70" spans="1:6">
      <c r="A70" s="13">
        <v>69</v>
      </c>
      <c r="B70" s="3" t="s">
        <v>441</v>
      </c>
      <c r="C70" s="13" t="s">
        <v>442</v>
      </c>
      <c r="D70" s="13" t="s">
        <v>35</v>
      </c>
      <c r="E70" s="13" t="s">
        <v>289</v>
      </c>
      <c r="F70" s="17" t="s">
        <v>286</v>
      </c>
    </row>
    <row r="71" spans="1:6">
      <c r="A71" s="13">
        <v>70</v>
      </c>
      <c r="B71" s="3" t="s">
        <v>443</v>
      </c>
      <c r="C71" s="13" t="s">
        <v>444</v>
      </c>
      <c r="D71" s="13" t="s">
        <v>35</v>
      </c>
      <c r="E71" s="13" t="s">
        <v>289</v>
      </c>
      <c r="F71" s="17" t="s">
        <v>286</v>
      </c>
    </row>
    <row r="72" spans="1:6">
      <c r="A72" s="13">
        <v>71</v>
      </c>
      <c r="B72" s="3" t="s">
        <v>445</v>
      </c>
      <c r="C72" s="13" t="s">
        <v>446</v>
      </c>
      <c r="D72" s="13" t="s">
        <v>35</v>
      </c>
      <c r="E72" s="13" t="s">
        <v>289</v>
      </c>
      <c r="F72" s="17" t="s">
        <v>286</v>
      </c>
    </row>
    <row r="73" spans="1:6">
      <c r="A73" s="13">
        <v>72</v>
      </c>
      <c r="B73" s="3" t="s">
        <v>447</v>
      </c>
      <c r="C73" s="13" t="s">
        <v>448</v>
      </c>
      <c r="D73" s="13" t="s">
        <v>35</v>
      </c>
      <c r="E73" s="13" t="s">
        <v>285</v>
      </c>
      <c r="F73" s="17" t="s">
        <v>286</v>
      </c>
    </row>
    <row r="74" spans="1:6">
      <c r="A74" s="13">
        <v>73</v>
      </c>
      <c r="B74" s="3" t="s">
        <v>449</v>
      </c>
      <c r="C74" s="13" t="s">
        <v>450</v>
      </c>
      <c r="D74" s="13" t="s">
        <v>35</v>
      </c>
      <c r="E74" s="13" t="s">
        <v>313</v>
      </c>
      <c r="F74" s="17" t="s">
        <v>286</v>
      </c>
    </row>
    <row r="75" spans="1:6">
      <c r="A75" s="13">
        <v>74</v>
      </c>
      <c r="B75" s="3" t="s">
        <v>451</v>
      </c>
      <c r="C75" s="13" t="s">
        <v>452</v>
      </c>
      <c r="D75" s="13" t="s">
        <v>35</v>
      </c>
      <c r="E75" s="13" t="s">
        <v>326</v>
      </c>
      <c r="F75" s="17" t="s">
        <v>286</v>
      </c>
    </row>
    <row r="76" spans="1:6">
      <c r="A76" s="13">
        <v>75</v>
      </c>
      <c r="B76" s="3" t="s">
        <v>453</v>
      </c>
      <c r="C76" s="13" t="s">
        <v>454</v>
      </c>
      <c r="D76" s="13" t="s">
        <v>35</v>
      </c>
      <c r="E76" s="13" t="s">
        <v>289</v>
      </c>
      <c r="F76" s="17" t="s">
        <v>286</v>
      </c>
    </row>
    <row r="77" spans="1:6">
      <c r="A77" s="13">
        <v>76</v>
      </c>
      <c r="B77" s="3" t="s">
        <v>455</v>
      </c>
      <c r="C77" s="13" t="s">
        <v>456</v>
      </c>
      <c r="D77" s="13" t="s">
        <v>26</v>
      </c>
      <c r="E77" s="13" t="s">
        <v>313</v>
      </c>
      <c r="F77" s="17" t="s">
        <v>286</v>
      </c>
    </row>
    <row r="78" spans="1:6">
      <c r="A78" s="13">
        <v>77</v>
      </c>
      <c r="B78" s="3" t="s">
        <v>457</v>
      </c>
      <c r="C78" s="13" t="s">
        <v>458</v>
      </c>
      <c r="D78" s="13" t="s">
        <v>35</v>
      </c>
      <c r="E78" s="13" t="s">
        <v>285</v>
      </c>
      <c r="F78" s="17" t="s">
        <v>286</v>
      </c>
    </row>
    <row r="79" spans="1:6">
      <c r="A79" s="13">
        <v>78</v>
      </c>
      <c r="B79" s="3" t="s">
        <v>459</v>
      </c>
      <c r="C79" s="13" t="s">
        <v>460</v>
      </c>
      <c r="D79" s="13" t="s">
        <v>26</v>
      </c>
      <c r="E79" s="13" t="s">
        <v>306</v>
      </c>
      <c r="F79" s="17" t="s">
        <v>461</v>
      </c>
    </row>
    <row r="80" spans="1:6">
      <c r="A80" s="13">
        <v>79</v>
      </c>
      <c r="B80" s="3" t="s">
        <v>462</v>
      </c>
      <c r="C80" s="13" t="s">
        <v>463</v>
      </c>
      <c r="D80" s="13" t="s">
        <v>26</v>
      </c>
      <c r="E80" s="13" t="s">
        <v>331</v>
      </c>
      <c r="F80" s="17" t="s">
        <v>464</v>
      </c>
    </row>
    <row r="81" spans="1:6">
      <c r="A81" s="13">
        <v>80</v>
      </c>
      <c r="B81" s="3" t="s">
        <v>465</v>
      </c>
      <c r="C81" s="13" t="s">
        <v>466</v>
      </c>
      <c r="D81" s="13" t="s">
        <v>26</v>
      </c>
      <c r="E81" s="13" t="s">
        <v>379</v>
      </c>
      <c r="F81" s="17" t="s">
        <v>467</v>
      </c>
    </row>
    <row r="82" spans="1:6">
      <c r="A82" s="13">
        <v>81</v>
      </c>
      <c r="B82" s="3" t="s">
        <v>468</v>
      </c>
      <c r="C82" s="13" t="s">
        <v>469</v>
      </c>
      <c r="D82" s="13" t="s">
        <v>35</v>
      </c>
      <c r="E82" s="13" t="s">
        <v>382</v>
      </c>
      <c r="F82" s="17" t="s">
        <v>461</v>
      </c>
    </row>
    <row r="83" spans="1:6">
      <c r="A83" s="13">
        <v>82</v>
      </c>
      <c r="B83" s="3" t="s">
        <v>470</v>
      </c>
      <c r="C83" s="13" t="s">
        <v>471</v>
      </c>
      <c r="D83" s="13" t="s">
        <v>65</v>
      </c>
      <c r="E83" s="13" t="s">
        <v>472</v>
      </c>
      <c r="F83" s="17" t="s">
        <v>461</v>
      </c>
    </row>
    <row r="84" spans="1:6">
      <c r="A84" s="13">
        <v>83</v>
      </c>
      <c r="B84" s="3" t="s">
        <v>473</v>
      </c>
      <c r="C84" s="13" t="s">
        <v>474</v>
      </c>
      <c r="D84" s="13" t="s">
        <v>65</v>
      </c>
      <c r="E84" s="13" t="s">
        <v>475</v>
      </c>
      <c r="F84" s="17" t="s">
        <v>461</v>
      </c>
    </row>
    <row r="85" spans="1:6">
      <c r="A85" s="13">
        <v>84</v>
      </c>
      <c r="B85" s="3" t="s">
        <v>476</v>
      </c>
      <c r="C85" s="13" t="s">
        <v>477</v>
      </c>
      <c r="D85" s="13" t="s">
        <v>26</v>
      </c>
      <c r="E85" s="13" t="s">
        <v>478</v>
      </c>
      <c r="F85" s="17" t="s">
        <v>479</v>
      </c>
    </row>
    <row r="86" spans="1:6">
      <c r="A86" s="13">
        <v>85</v>
      </c>
      <c r="B86" s="3" t="s">
        <v>480</v>
      </c>
      <c r="C86" s="13" t="s">
        <v>481</v>
      </c>
      <c r="D86" s="13" t="s">
        <v>26</v>
      </c>
      <c r="E86" s="13" t="s">
        <v>292</v>
      </c>
      <c r="F86" s="17" t="s">
        <v>286</v>
      </c>
    </row>
    <row r="87" spans="1:6">
      <c r="A87" s="13">
        <v>86</v>
      </c>
      <c r="B87" s="3" t="s">
        <v>482</v>
      </c>
      <c r="C87" s="13" t="s">
        <v>483</v>
      </c>
      <c r="D87" s="13" t="s">
        <v>26</v>
      </c>
      <c r="E87" s="13" t="s">
        <v>281</v>
      </c>
      <c r="F87" s="17" t="s">
        <v>286</v>
      </c>
    </row>
    <row r="88" spans="1:6">
      <c r="A88" s="13">
        <v>87</v>
      </c>
      <c r="B88" s="21" t="s">
        <v>484</v>
      </c>
      <c r="C88" s="26" t="s">
        <v>485</v>
      </c>
      <c r="D88" s="26" t="s">
        <v>26</v>
      </c>
      <c r="E88" s="26" t="s">
        <v>285</v>
      </c>
      <c r="F88" s="22" t="s">
        <v>486</v>
      </c>
    </row>
    <row r="89" spans="1:6">
      <c r="A89" s="13">
        <v>88</v>
      </c>
      <c r="B89" s="3" t="s">
        <v>487</v>
      </c>
      <c r="C89" s="13" t="s">
        <v>488</v>
      </c>
      <c r="D89" s="13" t="s">
        <v>65</v>
      </c>
      <c r="E89" s="13" t="s">
        <v>285</v>
      </c>
      <c r="F89" s="17" t="s">
        <v>286</v>
      </c>
    </row>
    <row r="90" spans="1:6">
      <c r="A90" s="13">
        <v>89</v>
      </c>
      <c r="B90" s="3" t="s">
        <v>489</v>
      </c>
      <c r="C90" s="13" t="s">
        <v>490</v>
      </c>
      <c r="D90" s="13" t="s">
        <v>65</v>
      </c>
      <c r="E90" s="13" t="s">
        <v>292</v>
      </c>
      <c r="F90" s="17" t="s">
        <v>286</v>
      </c>
    </row>
    <row r="91" spans="1:6">
      <c r="A91" s="13">
        <v>90</v>
      </c>
      <c r="B91" s="3" t="s">
        <v>491</v>
      </c>
      <c r="C91" s="13" t="s">
        <v>492</v>
      </c>
      <c r="D91" s="13" t="s">
        <v>26</v>
      </c>
      <c r="E91" s="13" t="s">
        <v>285</v>
      </c>
      <c r="F91" s="17" t="s">
        <v>286</v>
      </c>
    </row>
    <row r="92" spans="1:6">
      <c r="A92" s="13">
        <v>91</v>
      </c>
      <c r="B92" s="3" t="s">
        <v>493</v>
      </c>
      <c r="C92" s="13" t="s">
        <v>494</v>
      </c>
      <c r="D92" s="13" t="s">
        <v>26</v>
      </c>
      <c r="E92" s="13" t="s">
        <v>285</v>
      </c>
      <c r="F92" s="17" t="s">
        <v>286</v>
      </c>
    </row>
    <row r="93" spans="1:6">
      <c r="A93" s="13">
        <v>92</v>
      </c>
      <c r="B93" s="3" t="s">
        <v>495</v>
      </c>
      <c r="C93" s="13" t="s">
        <v>496</v>
      </c>
      <c r="D93" s="13" t="s">
        <v>26</v>
      </c>
      <c r="E93" s="13" t="s">
        <v>306</v>
      </c>
      <c r="F93" s="17" t="s">
        <v>497</v>
      </c>
    </row>
    <row r="94" spans="1:6">
      <c r="A94" s="13">
        <v>93</v>
      </c>
      <c r="B94" s="3" t="s">
        <v>498</v>
      </c>
      <c r="C94" s="13" t="s">
        <v>499</v>
      </c>
      <c r="D94" s="13" t="s">
        <v>26</v>
      </c>
      <c r="E94" s="13" t="s">
        <v>331</v>
      </c>
      <c r="F94" s="17" t="s">
        <v>500</v>
      </c>
    </row>
    <row r="95" spans="1:6">
      <c r="A95" s="13">
        <v>94</v>
      </c>
      <c r="B95" s="3" t="s">
        <v>501</v>
      </c>
      <c r="C95" s="13" t="s">
        <v>502</v>
      </c>
      <c r="D95" s="13" t="s">
        <v>26</v>
      </c>
      <c r="E95" s="13" t="s">
        <v>331</v>
      </c>
      <c r="F95" s="17" t="s">
        <v>500</v>
      </c>
    </row>
    <row r="96" spans="1:6">
      <c r="A96" s="13">
        <v>95</v>
      </c>
      <c r="B96" s="3" t="s">
        <v>503</v>
      </c>
      <c r="C96" s="13" t="s">
        <v>504</v>
      </c>
      <c r="D96" s="13" t="s">
        <v>26</v>
      </c>
      <c r="E96" s="13" t="s">
        <v>379</v>
      </c>
      <c r="F96" s="17" t="s">
        <v>505</v>
      </c>
    </row>
    <row r="97" spans="1:6">
      <c r="A97" s="13">
        <v>96</v>
      </c>
      <c r="B97" s="3" t="s">
        <v>506</v>
      </c>
      <c r="C97" s="13" t="s">
        <v>507</v>
      </c>
      <c r="D97" s="13" t="s">
        <v>26</v>
      </c>
      <c r="E97" s="13" t="s">
        <v>382</v>
      </c>
      <c r="F97" s="17" t="s">
        <v>286</v>
      </c>
    </row>
    <row r="98" spans="1:6">
      <c r="A98" s="13">
        <v>97</v>
      </c>
      <c r="B98" s="3" t="s">
        <v>508</v>
      </c>
      <c r="C98" s="13" t="s">
        <v>509</v>
      </c>
      <c r="D98" s="13" t="s">
        <v>26</v>
      </c>
      <c r="E98" s="13" t="s">
        <v>510</v>
      </c>
      <c r="F98" s="17" t="s">
        <v>286</v>
      </c>
    </row>
    <row r="99" spans="1:6">
      <c r="A99" s="13">
        <v>98</v>
      </c>
      <c r="B99" s="3" t="s">
        <v>511</v>
      </c>
      <c r="C99" s="13" t="s">
        <v>512</v>
      </c>
      <c r="D99" s="13" t="s">
        <v>35</v>
      </c>
      <c r="E99" s="13" t="s">
        <v>292</v>
      </c>
      <c r="F99" s="17" t="s">
        <v>286</v>
      </c>
    </row>
    <row r="100" spans="1:6">
      <c r="A100" s="13">
        <v>99</v>
      </c>
      <c r="B100" s="3" t="s">
        <v>513</v>
      </c>
      <c r="C100" s="13" t="s">
        <v>514</v>
      </c>
      <c r="D100" s="13" t="s">
        <v>35</v>
      </c>
      <c r="E100" s="13" t="s">
        <v>306</v>
      </c>
      <c r="F100" s="17" t="s">
        <v>515</v>
      </c>
    </row>
    <row r="101" spans="1:6">
      <c r="A101" s="13">
        <v>100</v>
      </c>
      <c r="B101" s="3" t="s">
        <v>516</v>
      </c>
      <c r="C101" s="13" t="s">
        <v>517</v>
      </c>
      <c r="D101" s="13" t="s">
        <v>35</v>
      </c>
      <c r="E101" s="13" t="s">
        <v>331</v>
      </c>
      <c r="F101" s="17" t="s">
        <v>518</v>
      </c>
    </row>
    <row r="102" spans="1:6">
      <c r="A102" s="13">
        <v>101</v>
      </c>
      <c r="B102" s="3" t="s">
        <v>519</v>
      </c>
      <c r="C102" s="13" t="s">
        <v>520</v>
      </c>
      <c r="D102" s="13" t="s">
        <v>35</v>
      </c>
      <c r="E102" s="13" t="s">
        <v>326</v>
      </c>
      <c r="F102" s="17" t="s">
        <v>286</v>
      </c>
    </row>
    <row r="103" spans="1:6">
      <c r="A103" s="30">
        <v>102</v>
      </c>
      <c r="B103" s="31" t="s">
        <v>521</v>
      </c>
      <c r="C103" s="30" t="s">
        <v>522</v>
      </c>
      <c r="D103" s="30" t="s">
        <v>35</v>
      </c>
      <c r="E103" s="30" t="s">
        <v>292</v>
      </c>
      <c r="F103" s="30"/>
    </row>
    <row r="104" spans="1:6">
      <c r="A104" s="13">
        <v>103</v>
      </c>
      <c r="B104" s="3" t="s">
        <v>523</v>
      </c>
      <c r="C104" s="13" t="s">
        <v>524</v>
      </c>
      <c r="D104" s="13" t="s">
        <v>35</v>
      </c>
      <c r="E104" s="13" t="s">
        <v>326</v>
      </c>
      <c r="F104" s="13"/>
    </row>
    <row r="105" spans="1:6">
      <c r="A105" s="13">
        <v>104</v>
      </c>
      <c r="B105" s="3" t="s">
        <v>525</v>
      </c>
      <c r="C105" s="13" t="s">
        <v>526</v>
      </c>
      <c r="D105" s="13" t="s">
        <v>35</v>
      </c>
      <c r="E105" s="13" t="s">
        <v>285</v>
      </c>
      <c r="F105" s="13"/>
    </row>
    <row r="106" spans="1:6">
      <c r="A106" s="13">
        <v>105</v>
      </c>
      <c r="B106" s="3" t="s">
        <v>527</v>
      </c>
      <c r="C106" s="13" t="s">
        <v>528</v>
      </c>
      <c r="D106" s="13" t="s">
        <v>35</v>
      </c>
      <c r="E106" s="13" t="s">
        <v>313</v>
      </c>
      <c r="F106" s="13"/>
    </row>
    <row r="107" spans="1:6">
      <c r="A107" s="13">
        <v>106</v>
      </c>
      <c r="B107" s="3" t="s">
        <v>529</v>
      </c>
      <c r="C107" s="13" t="s">
        <v>530</v>
      </c>
      <c r="D107" s="13" t="s">
        <v>35</v>
      </c>
      <c r="E107" s="13" t="s">
        <v>285</v>
      </c>
      <c r="F107" s="13"/>
    </row>
    <row r="108" spans="1:6">
      <c r="A108" s="13">
        <v>107</v>
      </c>
      <c r="B108" s="3" t="s">
        <v>531</v>
      </c>
      <c r="C108" s="13" t="s">
        <v>532</v>
      </c>
      <c r="D108" s="13" t="s">
        <v>35</v>
      </c>
      <c r="E108" s="13" t="s">
        <v>326</v>
      </c>
      <c r="F108" s="13"/>
    </row>
    <row r="109" spans="1:6">
      <c r="A109" s="13">
        <v>108</v>
      </c>
      <c r="B109" s="3" t="s">
        <v>533</v>
      </c>
      <c r="C109" s="13" t="s">
        <v>534</v>
      </c>
      <c r="D109" s="13" t="s">
        <v>35</v>
      </c>
      <c r="E109" s="13" t="s">
        <v>285</v>
      </c>
      <c r="F109" s="13"/>
    </row>
    <row r="110" spans="1:6">
      <c r="A110" s="13">
        <v>109</v>
      </c>
      <c r="B110" s="3" t="s">
        <v>535</v>
      </c>
      <c r="C110" s="13" t="s">
        <v>536</v>
      </c>
      <c r="D110" s="13" t="s">
        <v>35</v>
      </c>
      <c r="E110" s="13" t="s">
        <v>306</v>
      </c>
      <c r="F110" s="13" t="s">
        <v>537</v>
      </c>
    </row>
    <row r="111" spans="1:6">
      <c r="A111" s="13">
        <v>110</v>
      </c>
      <c r="B111" s="3" t="s">
        <v>538</v>
      </c>
      <c r="C111" s="13" t="s">
        <v>539</v>
      </c>
      <c r="D111" s="13" t="s">
        <v>35</v>
      </c>
      <c r="E111" s="13" t="s">
        <v>289</v>
      </c>
      <c r="F111" s="13"/>
    </row>
    <row r="112" spans="1:6">
      <c r="A112" s="13">
        <v>111</v>
      </c>
      <c r="B112" s="3" t="s">
        <v>540</v>
      </c>
      <c r="C112" s="13" t="s">
        <v>541</v>
      </c>
      <c r="D112" s="13" t="s">
        <v>35</v>
      </c>
      <c r="E112" s="13" t="s">
        <v>313</v>
      </c>
      <c r="F112" s="13"/>
    </row>
    <row r="113" spans="1:6">
      <c r="A113" s="13">
        <v>112</v>
      </c>
      <c r="B113" s="3" t="s">
        <v>542</v>
      </c>
      <c r="C113" s="13" t="s">
        <v>543</v>
      </c>
      <c r="D113" s="13" t="s">
        <v>35</v>
      </c>
      <c r="E113" s="13" t="s">
        <v>292</v>
      </c>
      <c r="F113" s="13"/>
    </row>
    <row r="114" spans="1:6">
      <c r="A114" s="13">
        <v>113</v>
      </c>
      <c r="B114" s="3" t="s">
        <v>544</v>
      </c>
      <c r="C114" s="13" t="s">
        <v>545</v>
      </c>
      <c r="D114" s="13" t="s">
        <v>35</v>
      </c>
      <c r="E114" s="13" t="s">
        <v>313</v>
      </c>
      <c r="F114" s="13"/>
    </row>
    <row r="115" spans="1:6">
      <c r="A115" s="13">
        <v>114</v>
      </c>
      <c r="B115" s="3" t="s">
        <v>546</v>
      </c>
      <c r="C115" s="13" t="s">
        <v>547</v>
      </c>
      <c r="D115" s="13" t="s">
        <v>35</v>
      </c>
      <c r="E115" s="13" t="s">
        <v>331</v>
      </c>
      <c r="F115" s="13" t="s">
        <v>537</v>
      </c>
    </row>
    <row r="116" spans="1:6">
      <c r="A116" s="13">
        <v>115</v>
      </c>
      <c r="B116" s="3" t="s">
        <v>548</v>
      </c>
      <c r="C116" s="13" t="s">
        <v>549</v>
      </c>
      <c r="D116" s="13" t="s">
        <v>35</v>
      </c>
      <c r="E116" s="13" t="s">
        <v>289</v>
      </c>
      <c r="F116" s="13"/>
    </row>
    <row r="117" spans="1:6">
      <c r="A117" s="13">
        <v>116</v>
      </c>
      <c r="B117" s="3" t="s">
        <v>550</v>
      </c>
      <c r="C117" s="13" t="s">
        <v>551</v>
      </c>
      <c r="D117" s="13" t="s">
        <v>35</v>
      </c>
      <c r="E117" s="13" t="s">
        <v>313</v>
      </c>
      <c r="F117" s="13"/>
    </row>
    <row r="118" spans="1:6">
      <c r="A118" s="13">
        <v>117</v>
      </c>
      <c r="B118" s="3" t="s">
        <v>552</v>
      </c>
      <c r="C118" s="13" t="s">
        <v>553</v>
      </c>
      <c r="D118" s="13" t="s">
        <v>65</v>
      </c>
      <c r="E118" s="13" t="s">
        <v>289</v>
      </c>
      <c r="F118" s="13" t="s">
        <v>554</v>
      </c>
    </row>
    <row r="119" spans="1:6">
      <c r="A119" s="13">
        <v>118</v>
      </c>
      <c r="B119" s="3" t="s">
        <v>555</v>
      </c>
      <c r="C119" s="13" t="s">
        <v>556</v>
      </c>
      <c r="D119" s="13" t="s">
        <v>65</v>
      </c>
      <c r="E119" s="13" t="s">
        <v>289</v>
      </c>
      <c r="F119" s="13" t="s">
        <v>554</v>
      </c>
    </row>
    <row r="120" spans="1:6">
      <c r="A120" s="13">
        <v>119</v>
      </c>
      <c r="B120" s="3" t="s">
        <v>557</v>
      </c>
      <c r="C120" s="13" t="s">
        <v>558</v>
      </c>
      <c r="D120" s="13" t="s">
        <v>35</v>
      </c>
      <c r="E120" s="13" t="s">
        <v>289</v>
      </c>
      <c r="F120" s="13"/>
    </row>
    <row r="121" spans="1:6">
      <c r="A121" s="13">
        <v>120</v>
      </c>
      <c r="B121" s="3" t="s">
        <v>559</v>
      </c>
      <c r="C121" s="13" t="s">
        <v>560</v>
      </c>
      <c r="D121" s="13" t="s">
        <v>26</v>
      </c>
      <c r="E121" s="13" t="s">
        <v>285</v>
      </c>
      <c r="F121" s="13"/>
    </row>
    <row r="122" spans="1:6">
      <c r="A122" s="13">
        <v>121</v>
      </c>
      <c r="B122" s="3" t="s">
        <v>561</v>
      </c>
      <c r="C122" s="13" t="s">
        <v>562</v>
      </c>
      <c r="D122" s="13" t="s">
        <v>26</v>
      </c>
      <c r="E122" s="13" t="s">
        <v>285</v>
      </c>
      <c r="F122" s="13"/>
    </row>
    <row r="123" spans="1:6">
      <c r="A123" s="13">
        <v>122</v>
      </c>
      <c r="B123" s="3" t="s">
        <v>563</v>
      </c>
      <c r="C123" s="13" t="s">
        <v>564</v>
      </c>
      <c r="D123" s="13" t="s">
        <v>14</v>
      </c>
      <c r="E123" s="13" t="s">
        <v>313</v>
      </c>
      <c r="F123" s="13"/>
    </row>
    <row r="124" spans="1:6">
      <c r="A124" s="13">
        <v>123</v>
      </c>
      <c r="B124" s="3" t="s">
        <v>565</v>
      </c>
      <c r="C124" s="13" t="s">
        <v>566</v>
      </c>
      <c r="D124" s="13" t="s">
        <v>35</v>
      </c>
      <c r="E124" s="13" t="s">
        <v>289</v>
      </c>
      <c r="F124" s="13" t="s">
        <v>567</v>
      </c>
    </row>
    <row r="125" spans="1:6">
      <c r="A125" s="13">
        <v>124</v>
      </c>
      <c r="B125" s="3" t="s">
        <v>568</v>
      </c>
      <c r="C125" s="13" t="s">
        <v>569</v>
      </c>
      <c r="D125" s="13" t="s">
        <v>35</v>
      </c>
      <c r="E125" s="13" t="s">
        <v>285</v>
      </c>
      <c r="F125" s="13" t="s">
        <v>570</v>
      </c>
    </row>
    <row r="126" spans="1:6">
      <c r="A126" s="13">
        <v>125</v>
      </c>
      <c r="B126" s="3" t="s">
        <v>571</v>
      </c>
      <c r="C126" s="13" t="s">
        <v>572</v>
      </c>
      <c r="D126" s="13" t="s">
        <v>26</v>
      </c>
      <c r="E126" s="13" t="s">
        <v>306</v>
      </c>
      <c r="F126" s="13" t="s">
        <v>461</v>
      </c>
    </row>
    <row r="127" spans="1:6">
      <c r="A127" s="13">
        <v>126</v>
      </c>
      <c r="B127" s="3" t="s">
        <v>573</v>
      </c>
      <c r="C127" s="13" t="s">
        <v>574</v>
      </c>
      <c r="D127" s="13" t="s">
        <v>26</v>
      </c>
      <c r="E127" s="13" t="s">
        <v>331</v>
      </c>
      <c r="F127" s="13" t="s">
        <v>575</v>
      </c>
    </row>
    <row r="128" spans="1:6">
      <c r="A128" s="13">
        <v>127</v>
      </c>
      <c r="B128" s="3" t="s">
        <v>576</v>
      </c>
      <c r="C128" s="13" t="s">
        <v>577</v>
      </c>
      <c r="D128" s="13" t="s">
        <v>26</v>
      </c>
      <c r="E128" s="13" t="s">
        <v>379</v>
      </c>
      <c r="F128" s="13" t="s">
        <v>578</v>
      </c>
    </row>
    <row r="129" spans="1:6">
      <c r="A129" s="13">
        <v>128</v>
      </c>
      <c r="B129" s="3" t="s">
        <v>579</v>
      </c>
      <c r="C129" s="13" t="s">
        <v>580</v>
      </c>
      <c r="D129" s="13" t="s">
        <v>26</v>
      </c>
      <c r="E129" s="13" t="s">
        <v>382</v>
      </c>
      <c r="F129" s="13" t="s">
        <v>581</v>
      </c>
    </row>
    <row r="130" spans="1:6">
      <c r="A130" s="13">
        <v>129</v>
      </c>
      <c r="B130" s="3" t="s">
        <v>582</v>
      </c>
      <c r="C130" s="13" t="s">
        <v>583</v>
      </c>
      <c r="D130" s="13" t="s">
        <v>35</v>
      </c>
      <c r="E130" s="13" t="s">
        <v>472</v>
      </c>
      <c r="F130" s="13" t="s">
        <v>461</v>
      </c>
    </row>
    <row r="131" spans="1:6">
      <c r="A131" s="13">
        <v>130</v>
      </c>
      <c r="B131" s="3" t="s">
        <v>584</v>
      </c>
      <c r="C131" s="13" t="s">
        <v>585</v>
      </c>
      <c r="D131" s="13" t="s">
        <v>35</v>
      </c>
      <c r="E131" s="13" t="s">
        <v>475</v>
      </c>
      <c r="F131" s="13" t="s">
        <v>586</v>
      </c>
    </row>
    <row r="132" spans="1:6">
      <c r="A132" s="13">
        <v>131</v>
      </c>
      <c r="B132" s="3" t="s">
        <v>587</v>
      </c>
      <c r="C132" s="13" t="s">
        <v>588</v>
      </c>
      <c r="D132" s="13" t="s">
        <v>35</v>
      </c>
      <c r="E132" s="13" t="s">
        <v>478</v>
      </c>
      <c r="F132" s="13" t="s">
        <v>461</v>
      </c>
    </row>
    <row r="133" spans="1:6">
      <c r="A133" s="13">
        <v>132</v>
      </c>
      <c r="B133" s="3" t="s">
        <v>589</v>
      </c>
      <c r="C133" s="13" t="s">
        <v>590</v>
      </c>
      <c r="D133" s="13" t="s">
        <v>35</v>
      </c>
      <c r="E133" s="13" t="s">
        <v>591</v>
      </c>
      <c r="F133" s="13" t="s">
        <v>592</v>
      </c>
    </row>
    <row r="134" spans="1:6">
      <c r="A134" s="13">
        <v>133</v>
      </c>
      <c r="B134" s="3" t="s">
        <v>593</v>
      </c>
      <c r="C134" s="13" t="s">
        <v>594</v>
      </c>
      <c r="D134" s="13" t="s">
        <v>35</v>
      </c>
      <c r="E134" s="13" t="s">
        <v>285</v>
      </c>
      <c r="F134" s="13" t="s">
        <v>595</v>
      </c>
    </row>
    <row r="135" spans="1:6">
      <c r="A135" s="13">
        <v>134</v>
      </c>
      <c r="B135" s="3" t="s">
        <v>596</v>
      </c>
      <c r="C135" s="13" t="s">
        <v>597</v>
      </c>
      <c r="D135" s="13" t="s">
        <v>35</v>
      </c>
      <c r="E135" s="13" t="s">
        <v>285</v>
      </c>
      <c r="F135" s="13" t="s">
        <v>595</v>
      </c>
    </row>
    <row r="136" spans="1:6">
      <c r="A136" s="13">
        <v>135</v>
      </c>
      <c r="B136" s="3" t="s">
        <v>598</v>
      </c>
      <c r="C136" s="13" t="s">
        <v>599</v>
      </c>
      <c r="D136" s="13" t="s">
        <v>26</v>
      </c>
      <c r="E136" s="13" t="s">
        <v>292</v>
      </c>
      <c r="F136" s="13" t="s">
        <v>600</v>
      </c>
    </row>
    <row r="137" spans="1:6">
      <c r="A137" s="13">
        <v>136</v>
      </c>
      <c r="B137" s="3" t="s">
        <v>601</v>
      </c>
      <c r="C137" s="13" t="s">
        <v>602</v>
      </c>
      <c r="D137" s="13" t="s">
        <v>26</v>
      </c>
      <c r="E137" s="13" t="s">
        <v>292</v>
      </c>
      <c r="F137" s="13"/>
    </row>
    <row r="138" spans="1:6">
      <c r="A138" s="13">
        <v>137</v>
      </c>
      <c r="B138" s="3" t="s">
        <v>603</v>
      </c>
      <c r="C138" s="13" t="s">
        <v>604</v>
      </c>
      <c r="D138" s="13" t="s">
        <v>35</v>
      </c>
      <c r="E138" s="13" t="s">
        <v>510</v>
      </c>
      <c r="F138" s="13" t="s">
        <v>605</v>
      </c>
    </row>
    <row r="139" spans="1:6">
      <c r="A139" s="13">
        <v>138</v>
      </c>
      <c r="B139" s="27" t="s">
        <v>606</v>
      </c>
      <c r="C139" s="28" t="s">
        <v>607</v>
      </c>
      <c r="D139" s="28" t="s">
        <v>35</v>
      </c>
      <c r="E139" s="28" t="s">
        <v>289</v>
      </c>
      <c r="F139" s="29" t="s">
        <v>286</v>
      </c>
    </row>
    <row r="140" spans="1:6">
      <c r="A140" s="13">
        <v>139</v>
      </c>
      <c r="B140" s="3" t="s">
        <v>608</v>
      </c>
      <c r="C140" s="13" t="s">
        <v>609</v>
      </c>
      <c r="D140" s="13" t="s">
        <v>35</v>
      </c>
      <c r="E140" s="13" t="s">
        <v>289</v>
      </c>
      <c r="F140" s="17" t="s">
        <v>286</v>
      </c>
    </row>
    <row r="141" spans="1:6">
      <c r="A141" s="13">
        <v>140</v>
      </c>
      <c r="B141" s="3" t="s">
        <v>610</v>
      </c>
      <c r="C141" s="13" t="s">
        <v>611</v>
      </c>
      <c r="D141" s="13" t="s">
        <v>35</v>
      </c>
      <c r="E141" s="13" t="s">
        <v>285</v>
      </c>
      <c r="F141" s="17" t="s">
        <v>286</v>
      </c>
    </row>
    <row r="142" spans="1:6">
      <c r="A142" s="13">
        <v>141</v>
      </c>
      <c r="B142" s="3" t="s">
        <v>612</v>
      </c>
      <c r="C142" s="13" t="s">
        <v>613</v>
      </c>
      <c r="D142" s="13" t="s">
        <v>35</v>
      </c>
      <c r="E142" s="13" t="s">
        <v>292</v>
      </c>
      <c r="F142" s="17" t="s">
        <v>286</v>
      </c>
    </row>
    <row r="143" spans="1:6">
      <c r="A143" s="13">
        <v>142</v>
      </c>
      <c r="B143" s="3" t="s">
        <v>614</v>
      </c>
      <c r="C143" s="13" t="s">
        <v>615</v>
      </c>
      <c r="D143" s="13" t="s">
        <v>35</v>
      </c>
      <c r="E143" s="13" t="s">
        <v>289</v>
      </c>
      <c r="F143" s="17" t="s">
        <v>616</v>
      </c>
    </row>
    <row r="144" spans="1:6">
      <c r="A144" s="13">
        <v>143</v>
      </c>
      <c r="B144" s="3" t="s">
        <v>617</v>
      </c>
      <c r="C144" s="13" t="s">
        <v>618</v>
      </c>
      <c r="D144" s="13" t="s">
        <v>35</v>
      </c>
      <c r="E144" s="13" t="s">
        <v>306</v>
      </c>
      <c r="F144" s="17" t="s">
        <v>286</v>
      </c>
    </row>
    <row r="145" spans="1:6">
      <c r="A145" s="13">
        <v>144</v>
      </c>
      <c r="B145" s="3" t="s">
        <v>619</v>
      </c>
      <c r="C145" s="13" t="s">
        <v>620</v>
      </c>
      <c r="D145" s="13" t="s">
        <v>35</v>
      </c>
      <c r="E145" s="13" t="s">
        <v>313</v>
      </c>
      <c r="F145" s="17" t="s">
        <v>286</v>
      </c>
    </row>
    <row r="146" spans="1:6">
      <c r="A146" s="13">
        <v>145</v>
      </c>
      <c r="B146" s="3" t="s">
        <v>621</v>
      </c>
      <c r="C146" s="13" t="s">
        <v>622</v>
      </c>
      <c r="D146" s="13" t="s">
        <v>35</v>
      </c>
      <c r="E146" s="13" t="s">
        <v>326</v>
      </c>
      <c r="F146" s="17" t="s">
        <v>286</v>
      </c>
    </row>
    <row r="147" spans="1:6">
      <c r="A147" s="13">
        <v>146</v>
      </c>
      <c r="B147" s="3" t="s">
        <v>623</v>
      </c>
      <c r="C147" s="13" t="s">
        <v>624</v>
      </c>
      <c r="D147" s="13" t="s">
        <v>35</v>
      </c>
      <c r="E147" s="13" t="s">
        <v>313</v>
      </c>
      <c r="F147" s="17" t="s">
        <v>286</v>
      </c>
    </row>
    <row r="148" spans="1:6">
      <c r="A148" s="13">
        <v>147</v>
      </c>
      <c r="B148" s="3" t="s">
        <v>625</v>
      </c>
      <c r="C148" s="13" t="s">
        <v>626</v>
      </c>
      <c r="D148" s="13" t="s">
        <v>35</v>
      </c>
      <c r="E148" s="13" t="s">
        <v>331</v>
      </c>
      <c r="F148" s="17" t="s">
        <v>627</v>
      </c>
    </row>
    <row r="149" spans="1:6">
      <c r="A149" s="13">
        <v>148</v>
      </c>
      <c r="B149" s="3" t="s">
        <v>628</v>
      </c>
      <c r="C149" s="13" t="s">
        <v>629</v>
      </c>
      <c r="D149" s="13" t="s">
        <v>26</v>
      </c>
      <c r="E149" s="13" t="s">
        <v>510</v>
      </c>
      <c r="F149" s="17" t="s">
        <v>286</v>
      </c>
    </row>
    <row r="150" spans="1:6">
      <c r="A150" s="13">
        <v>149</v>
      </c>
      <c r="B150" s="3" t="s">
        <v>630</v>
      </c>
      <c r="C150" s="13" t="s">
        <v>631</v>
      </c>
      <c r="D150" s="13" t="s">
        <v>26</v>
      </c>
      <c r="E150" s="13" t="s">
        <v>306</v>
      </c>
      <c r="F150" s="17" t="s">
        <v>632</v>
      </c>
    </row>
    <row r="151" spans="1:6">
      <c r="A151" s="13">
        <v>150</v>
      </c>
      <c r="B151" s="3" t="s">
        <v>633</v>
      </c>
      <c r="C151" s="13" t="s">
        <v>634</v>
      </c>
      <c r="D151" s="13" t="s">
        <v>35</v>
      </c>
      <c r="E151" s="13" t="s">
        <v>331</v>
      </c>
      <c r="F151" s="17" t="s">
        <v>632</v>
      </c>
    </row>
    <row r="152" spans="1:6">
      <c r="A152" s="13">
        <v>151</v>
      </c>
      <c r="B152" s="3" t="s">
        <v>635</v>
      </c>
      <c r="C152" s="13" t="s">
        <v>636</v>
      </c>
      <c r="D152" s="13" t="s">
        <v>35</v>
      </c>
      <c r="E152" s="13" t="s">
        <v>379</v>
      </c>
      <c r="F152" s="17" t="s">
        <v>632</v>
      </c>
    </row>
    <row r="153" spans="1:6">
      <c r="A153" s="13">
        <v>152</v>
      </c>
      <c r="B153" s="3" t="s">
        <v>637</v>
      </c>
      <c r="C153" s="13" t="s">
        <v>638</v>
      </c>
      <c r="D153" s="13" t="s">
        <v>35</v>
      </c>
      <c r="E153" s="13" t="s">
        <v>382</v>
      </c>
      <c r="F153" s="17" t="s">
        <v>632</v>
      </c>
    </row>
    <row r="154" spans="1:6">
      <c r="A154" s="13">
        <v>153</v>
      </c>
      <c r="B154" s="3" t="s">
        <v>639</v>
      </c>
      <c r="C154" s="13" t="s">
        <v>640</v>
      </c>
      <c r="D154" s="13" t="s">
        <v>35</v>
      </c>
      <c r="E154" s="13" t="s">
        <v>472</v>
      </c>
      <c r="F154" s="17" t="s">
        <v>632</v>
      </c>
    </row>
    <row r="155" spans="1:6">
      <c r="A155" s="13">
        <v>154</v>
      </c>
      <c r="B155" s="3" t="s">
        <v>641</v>
      </c>
      <c r="C155" s="13" t="s">
        <v>642</v>
      </c>
      <c r="D155" s="13" t="s">
        <v>35</v>
      </c>
      <c r="E155" s="13" t="s">
        <v>285</v>
      </c>
      <c r="F155" s="17" t="s">
        <v>643</v>
      </c>
    </row>
    <row r="156" spans="1:6">
      <c r="A156" s="13">
        <v>155</v>
      </c>
      <c r="B156" s="3" t="s">
        <v>644</v>
      </c>
      <c r="C156" s="13" t="s">
        <v>645</v>
      </c>
      <c r="D156" s="13" t="s">
        <v>26</v>
      </c>
      <c r="E156" s="13" t="s">
        <v>646</v>
      </c>
      <c r="F156" s="17" t="s">
        <v>286</v>
      </c>
    </row>
    <row r="157" spans="1:6">
      <c r="A157" s="13">
        <v>156</v>
      </c>
      <c r="B157" s="3" t="s">
        <v>647</v>
      </c>
      <c r="C157" s="13" t="s">
        <v>648</v>
      </c>
      <c r="D157" s="13" t="s">
        <v>35</v>
      </c>
      <c r="E157" s="13" t="s">
        <v>289</v>
      </c>
      <c r="F157" s="17" t="s">
        <v>286</v>
      </c>
    </row>
    <row r="158" spans="1:6">
      <c r="A158" s="13">
        <v>157</v>
      </c>
      <c r="B158" s="3" t="s">
        <v>649</v>
      </c>
      <c r="C158" s="13" t="s">
        <v>650</v>
      </c>
      <c r="D158" s="13" t="s">
        <v>35</v>
      </c>
      <c r="E158" s="13" t="s">
        <v>289</v>
      </c>
      <c r="F158" s="17" t="s">
        <v>651</v>
      </c>
    </row>
    <row r="159" spans="1:6">
      <c r="A159" s="13">
        <v>158</v>
      </c>
      <c r="B159" s="21" t="s">
        <v>652</v>
      </c>
      <c r="C159" s="26" t="s">
        <v>653</v>
      </c>
      <c r="D159" s="13" t="s">
        <v>35</v>
      </c>
      <c r="E159" s="26" t="s">
        <v>289</v>
      </c>
      <c r="F159" s="22" t="s">
        <v>654</v>
      </c>
    </row>
    <row r="160" spans="1:6">
      <c r="A160" s="13">
        <v>159</v>
      </c>
      <c r="B160" s="3" t="s">
        <v>655</v>
      </c>
      <c r="C160" s="13" t="s">
        <v>656</v>
      </c>
      <c r="D160" s="13" t="s">
        <v>35</v>
      </c>
      <c r="E160" s="13" t="s">
        <v>289</v>
      </c>
      <c r="F160" s="17" t="s">
        <v>286</v>
      </c>
    </row>
    <row r="161" spans="1:6">
      <c r="A161" s="13">
        <v>160</v>
      </c>
      <c r="B161" s="3" t="s">
        <v>657</v>
      </c>
      <c r="C161" s="13" t="s">
        <v>658</v>
      </c>
      <c r="D161" s="13" t="s">
        <v>35</v>
      </c>
      <c r="E161" s="13" t="s">
        <v>289</v>
      </c>
      <c r="F161" s="17" t="s">
        <v>286</v>
      </c>
    </row>
    <row r="162" spans="1:6">
      <c r="A162" s="13">
        <v>161</v>
      </c>
      <c r="B162" s="3" t="s">
        <v>659</v>
      </c>
      <c r="C162" s="13" t="s">
        <v>660</v>
      </c>
      <c r="D162" s="13" t="s">
        <v>35</v>
      </c>
      <c r="E162" s="13" t="s">
        <v>289</v>
      </c>
      <c r="F162" s="17" t="s">
        <v>286</v>
      </c>
    </row>
    <row r="163" spans="1:6">
      <c r="A163" s="13">
        <v>162</v>
      </c>
      <c r="B163" s="3" t="s">
        <v>661</v>
      </c>
      <c r="C163" s="13" t="s">
        <v>662</v>
      </c>
      <c r="D163" s="13" t="s">
        <v>35</v>
      </c>
      <c r="E163" s="13" t="s">
        <v>306</v>
      </c>
      <c r="F163" s="17" t="s">
        <v>286</v>
      </c>
    </row>
    <row r="164" spans="1:6">
      <c r="A164" s="13">
        <v>163</v>
      </c>
      <c r="B164" s="3" t="s">
        <v>663</v>
      </c>
      <c r="C164" s="13" t="s">
        <v>664</v>
      </c>
      <c r="D164" s="13" t="s">
        <v>65</v>
      </c>
      <c r="E164" s="13" t="s">
        <v>285</v>
      </c>
      <c r="F164" s="17" t="s">
        <v>286</v>
      </c>
    </row>
    <row r="165" spans="1:6">
      <c r="A165" s="13">
        <v>164</v>
      </c>
      <c r="B165" s="3" t="s">
        <v>665</v>
      </c>
      <c r="C165" s="13" t="s">
        <v>666</v>
      </c>
      <c r="D165" s="13" t="s">
        <v>65</v>
      </c>
      <c r="E165" s="13" t="s">
        <v>285</v>
      </c>
      <c r="F165" s="17" t="s">
        <v>286</v>
      </c>
    </row>
    <row r="166" spans="1:6">
      <c r="A166" s="13">
        <v>165</v>
      </c>
      <c r="B166" s="3" t="s">
        <v>667</v>
      </c>
      <c r="C166" s="13" t="s">
        <v>668</v>
      </c>
      <c r="D166" s="13" t="s">
        <v>35</v>
      </c>
      <c r="E166" s="13" t="s">
        <v>285</v>
      </c>
      <c r="F166" s="17" t="s">
        <v>286</v>
      </c>
    </row>
    <row r="167" spans="1:6">
      <c r="A167" s="13">
        <v>166</v>
      </c>
      <c r="B167" s="3" t="s">
        <v>669</v>
      </c>
      <c r="C167" s="13" t="s">
        <v>670</v>
      </c>
      <c r="D167" s="13" t="s">
        <v>65</v>
      </c>
      <c r="E167" s="13" t="s">
        <v>285</v>
      </c>
      <c r="F167" s="17" t="s">
        <v>286</v>
      </c>
    </row>
    <row r="168" spans="1:6">
      <c r="A168" s="13">
        <v>167</v>
      </c>
      <c r="B168" s="3" t="s">
        <v>671</v>
      </c>
      <c r="C168" s="13" t="s">
        <v>672</v>
      </c>
      <c r="D168" s="13" t="s">
        <v>65</v>
      </c>
      <c r="E168" s="13" t="s">
        <v>285</v>
      </c>
      <c r="F168" s="17" t="s">
        <v>673</v>
      </c>
    </row>
    <row r="169" spans="1:6">
      <c r="A169" s="13">
        <v>168</v>
      </c>
      <c r="B169" s="3" t="s">
        <v>674</v>
      </c>
      <c r="C169" s="13" t="s">
        <v>675</v>
      </c>
      <c r="D169" s="13" t="s">
        <v>26</v>
      </c>
      <c r="E169" s="13" t="s">
        <v>313</v>
      </c>
      <c r="F169" s="17" t="s">
        <v>286</v>
      </c>
    </row>
    <row r="170" spans="1:6">
      <c r="A170" s="13">
        <v>169</v>
      </c>
      <c r="B170" s="3" t="s">
        <v>676</v>
      </c>
      <c r="C170" s="13" t="s">
        <v>677</v>
      </c>
      <c r="D170" s="13" t="s">
        <v>35</v>
      </c>
      <c r="E170" s="13" t="s">
        <v>289</v>
      </c>
      <c r="F170" s="17" t="s">
        <v>286</v>
      </c>
    </row>
    <row r="171" spans="1:6">
      <c r="A171" s="13">
        <v>170</v>
      </c>
      <c r="B171" s="3" t="s">
        <v>678</v>
      </c>
      <c r="C171" s="13" t="s">
        <v>679</v>
      </c>
      <c r="D171" s="13" t="s">
        <v>35</v>
      </c>
      <c r="E171" s="13" t="s">
        <v>289</v>
      </c>
      <c r="F171" s="17" t="s">
        <v>680</v>
      </c>
    </row>
    <row r="172" spans="1:6">
      <c r="A172" s="13">
        <v>171</v>
      </c>
      <c r="B172" s="3" t="s">
        <v>681</v>
      </c>
      <c r="C172" s="13" t="s">
        <v>682</v>
      </c>
      <c r="D172" s="13" t="s">
        <v>35</v>
      </c>
      <c r="E172" s="13" t="s">
        <v>306</v>
      </c>
      <c r="F172" s="17"/>
    </row>
    <row r="173" spans="1:6">
      <c r="A173" s="13">
        <v>172</v>
      </c>
      <c r="B173" s="3" t="s">
        <v>683</v>
      </c>
      <c r="C173" s="13" t="s">
        <v>684</v>
      </c>
      <c r="D173" s="13" t="s">
        <v>26</v>
      </c>
      <c r="E173" s="13" t="s">
        <v>331</v>
      </c>
      <c r="F173" s="17" t="s">
        <v>685</v>
      </c>
    </row>
    <row r="174" spans="1:6">
      <c r="A174" s="13">
        <v>173</v>
      </c>
      <c r="B174" s="3" t="s">
        <v>686</v>
      </c>
      <c r="C174" s="13" t="s">
        <v>687</v>
      </c>
      <c r="D174" s="13" t="s">
        <v>35</v>
      </c>
      <c r="E174" s="13" t="s">
        <v>292</v>
      </c>
      <c r="F174" t="s">
        <v>688</v>
      </c>
    </row>
    <row r="175" spans="1:6">
      <c r="A175" s="13">
        <v>174</v>
      </c>
      <c r="B175" s="3" t="s">
        <v>689</v>
      </c>
      <c r="C175" s="13" t="s">
        <v>690</v>
      </c>
      <c r="D175" s="13" t="s">
        <v>35</v>
      </c>
      <c r="E175" s="13" t="s">
        <v>292</v>
      </c>
      <c r="F175" s="17" t="s">
        <v>286</v>
      </c>
    </row>
    <row r="176" spans="1:6">
      <c r="A176" s="13">
        <v>175</v>
      </c>
      <c r="B176" s="3" t="s">
        <v>691</v>
      </c>
      <c r="C176" s="13" t="s">
        <v>692</v>
      </c>
      <c r="D176" s="13" t="s">
        <v>35</v>
      </c>
      <c r="E176" s="13" t="s">
        <v>292</v>
      </c>
      <c r="F176" t="s">
        <v>688</v>
      </c>
    </row>
    <row r="177" spans="1:6">
      <c r="A177" s="13">
        <v>176</v>
      </c>
      <c r="B177" s="3" t="s">
        <v>693</v>
      </c>
      <c r="C177" s="13" t="s">
        <v>694</v>
      </c>
      <c r="D177" s="13" t="s">
        <v>35</v>
      </c>
      <c r="E177" s="13" t="s">
        <v>326</v>
      </c>
      <c r="F177" s="17" t="s">
        <v>286</v>
      </c>
    </row>
    <row r="178" spans="1:6">
      <c r="A178" s="13">
        <v>177</v>
      </c>
      <c r="B178" s="3" t="s">
        <v>695</v>
      </c>
      <c r="C178" s="13" t="s">
        <v>696</v>
      </c>
      <c r="D178" s="13" t="s">
        <v>35</v>
      </c>
      <c r="E178" s="13" t="s">
        <v>326</v>
      </c>
      <c r="F178" s="17" t="s">
        <v>497</v>
      </c>
    </row>
    <row r="179" spans="1:6">
      <c r="A179" s="13">
        <v>178</v>
      </c>
      <c r="B179" s="3" t="s">
        <v>697</v>
      </c>
      <c r="C179" s="13" t="s">
        <v>698</v>
      </c>
      <c r="D179" s="13" t="s">
        <v>35</v>
      </c>
      <c r="E179" s="13" t="s">
        <v>306</v>
      </c>
      <c r="F179" s="17" t="s">
        <v>286</v>
      </c>
    </row>
    <row r="180" spans="1:6">
      <c r="A180" s="13">
        <v>179</v>
      </c>
      <c r="B180" s="3" t="s">
        <v>699</v>
      </c>
      <c r="C180" s="13" t="s">
        <v>700</v>
      </c>
      <c r="D180" s="13" t="s">
        <v>35</v>
      </c>
      <c r="E180" s="13" t="s">
        <v>313</v>
      </c>
      <c r="F180" s="17" t="s">
        <v>286</v>
      </c>
    </row>
    <row r="181" spans="1:6">
      <c r="A181" s="13">
        <v>180</v>
      </c>
      <c r="B181" s="3" t="s">
        <v>701</v>
      </c>
      <c r="C181" s="13" t="s">
        <v>702</v>
      </c>
      <c r="D181" s="13" t="s">
        <v>35</v>
      </c>
      <c r="E181" s="13" t="s">
        <v>313</v>
      </c>
      <c r="F181" s="17" t="s">
        <v>286</v>
      </c>
    </row>
    <row r="182" spans="1:6">
      <c r="A182" s="13">
        <v>181</v>
      </c>
      <c r="B182" s="3" t="s">
        <v>703</v>
      </c>
      <c r="C182" s="13" t="s">
        <v>704</v>
      </c>
      <c r="D182" s="13" t="s">
        <v>35</v>
      </c>
      <c r="E182" s="13" t="s">
        <v>289</v>
      </c>
      <c r="F182" s="17" t="s">
        <v>286</v>
      </c>
    </row>
    <row r="183" spans="1:6">
      <c r="A183" s="13">
        <v>182</v>
      </c>
      <c r="B183" s="3" t="s">
        <v>705</v>
      </c>
      <c r="C183" s="13" t="s">
        <v>706</v>
      </c>
      <c r="D183" s="13" t="s">
        <v>35</v>
      </c>
      <c r="E183" s="13" t="s">
        <v>289</v>
      </c>
      <c r="F183" s="17" t="s">
        <v>286</v>
      </c>
    </row>
    <row r="184" spans="1:6">
      <c r="A184" s="13">
        <v>183</v>
      </c>
      <c r="B184" s="3" t="s">
        <v>707</v>
      </c>
      <c r="C184" s="13" t="s">
        <v>708</v>
      </c>
      <c r="D184" s="13" t="s">
        <v>35</v>
      </c>
      <c r="E184" s="13" t="s">
        <v>289</v>
      </c>
      <c r="F184" s="17" t="s">
        <v>286</v>
      </c>
    </row>
    <row r="185" spans="1:6">
      <c r="A185" s="13">
        <v>184</v>
      </c>
      <c r="B185" s="3" t="s">
        <v>709</v>
      </c>
      <c r="C185" s="13" t="s">
        <v>710</v>
      </c>
      <c r="D185" s="13" t="s">
        <v>35</v>
      </c>
      <c r="E185" s="13" t="s">
        <v>285</v>
      </c>
      <c r="F185" s="17" t="s">
        <v>711</v>
      </c>
    </row>
    <row r="186" spans="1:6">
      <c r="A186" s="13">
        <v>185</v>
      </c>
      <c r="B186" s="3" t="s">
        <v>712</v>
      </c>
      <c r="C186" s="13" t="s">
        <v>713</v>
      </c>
      <c r="D186" s="13" t="s">
        <v>35</v>
      </c>
      <c r="E186" s="13" t="s">
        <v>285</v>
      </c>
      <c r="F186" s="17" t="s">
        <v>286</v>
      </c>
    </row>
    <row r="187" spans="1:6">
      <c r="A187" s="13">
        <v>186</v>
      </c>
      <c r="B187" s="3" t="s">
        <v>714</v>
      </c>
      <c r="C187" s="13" t="s">
        <v>715</v>
      </c>
      <c r="D187" s="13" t="s">
        <v>35</v>
      </c>
      <c r="E187" s="13" t="s">
        <v>285</v>
      </c>
      <c r="F187" s="17" t="s">
        <v>461</v>
      </c>
    </row>
    <row r="188" spans="1:6">
      <c r="A188" s="13">
        <v>187</v>
      </c>
      <c r="B188" s="3" t="s">
        <v>716</v>
      </c>
      <c r="C188" s="13" t="s">
        <v>717</v>
      </c>
      <c r="D188" s="13" t="s">
        <v>26</v>
      </c>
      <c r="E188" s="13" t="s">
        <v>306</v>
      </c>
      <c r="F188" s="17" t="s">
        <v>461</v>
      </c>
    </row>
    <row r="189" spans="1:6">
      <c r="A189" s="13">
        <v>188</v>
      </c>
      <c r="B189" s="3" t="s">
        <v>718</v>
      </c>
      <c r="C189" s="13" t="s">
        <v>719</v>
      </c>
      <c r="D189" s="13" t="s">
        <v>26</v>
      </c>
      <c r="E189" s="13" t="s">
        <v>331</v>
      </c>
      <c r="F189" s="17" t="s">
        <v>461</v>
      </c>
    </row>
    <row r="190" spans="1:6">
      <c r="A190" s="13">
        <v>189</v>
      </c>
      <c r="B190" s="3" t="s">
        <v>720</v>
      </c>
      <c r="C190" s="13" t="s">
        <v>721</v>
      </c>
      <c r="D190" s="13" t="s">
        <v>26</v>
      </c>
      <c r="E190" s="13" t="s">
        <v>379</v>
      </c>
      <c r="F190" s="17" t="s">
        <v>461</v>
      </c>
    </row>
    <row r="191" spans="1:6">
      <c r="A191" s="13">
        <v>190</v>
      </c>
      <c r="B191" s="3" t="s">
        <v>722</v>
      </c>
      <c r="C191" s="13" t="s">
        <v>723</v>
      </c>
      <c r="D191" s="13" t="s">
        <v>26</v>
      </c>
      <c r="E191" s="13" t="s">
        <v>382</v>
      </c>
      <c r="F191" s="17" t="s">
        <v>461</v>
      </c>
    </row>
    <row r="192" spans="1:6">
      <c r="A192" s="13">
        <v>191</v>
      </c>
      <c r="B192" s="3" t="s">
        <v>724</v>
      </c>
      <c r="C192" s="13" t="s">
        <v>725</v>
      </c>
      <c r="D192" s="13" t="s">
        <v>35</v>
      </c>
      <c r="E192" s="13" t="s">
        <v>472</v>
      </c>
      <c r="F192" s="17" t="s">
        <v>461</v>
      </c>
    </row>
    <row r="193" spans="1:6">
      <c r="A193" s="13">
        <v>192</v>
      </c>
      <c r="B193" s="3" t="s">
        <v>726</v>
      </c>
      <c r="C193" s="13" t="s">
        <v>727</v>
      </c>
      <c r="D193" s="13" t="s">
        <v>26</v>
      </c>
      <c r="E193" s="13" t="s">
        <v>475</v>
      </c>
      <c r="F193" s="17" t="s">
        <v>728</v>
      </c>
    </row>
    <row r="194" spans="1:6">
      <c r="A194" s="13">
        <v>193</v>
      </c>
      <c r="B194" s="3" t="s">
        <v>729</v>
      </c>
      <c r="C194" s="13" t="s">
        <v>730</v>
      </c>
      <c r="D194" s="13" t="s">
        <v>26</v>
      </c>
      <c r="E194" s="13" t="s">
        <v>478</v>
      </c>
      <c r="F194" s="17" t="s">
        <v>286</v>
      </c>
    </row>
    <row r="195" spans="1:6">
      <c r="A195" s="13">
        <v>194</v>
      </c>
      <c r="B195" s="3" t="s">
        <v>731</v>
      </c>
      <c r="C195" s="13" t="s">
        <v>732</v>
      </c>
      <c r="D195" s="13" t="s">
        <v>26</v>
      </c>
      <c r="E195" s="13" t="s">
        <v>326</v>
      </c>
      <c r="F195" s="17" t="s">
        <v>286</v>
      </c>
    </row>
    <row r="196" spans="1:6">
      <c r="A196" s="13">
        <v>195</v>
      </c>
      <c r="B196" s="3" t="s">
        <v>733</v>
      </c>
      <c r="C196" s="13" t="s">
        <v>734</v>
      </c>
      <c r="D196" s="13" t="s">
        <v>26</v>
      </c>
      <c r="E196" s="13" t="s">
        <v>326</v>
      </c>
      <c r="F196" s="17" t="s">
        <v>286</v>
      </c>
    </row>
    <row r="197" spans="1:6">
      <c r="A197" s="13">
        <v>196</v>
      </c>
      <c r="B197" s="3" t="s">
        <v>735</v>
      </c>
      <c r="C197" s="13" t="s">
        <v>736</v>
      </c>
      <c r="D197" s="13" t="s">
        <v>26</v>
      </c>
      <c r="E197" s="13" t="s">
        <v>326</v>
      </c>
      <c r="F197" s="17" t="s">
        <v>286</v>
      </c>
    </row>
    <row r="198" spans="1:6">
      <c r="A198" s="13">
        <v>197</v>
      </c>
      <c r="B198" s="3" t="s">
        <v>737</v>
      </c>
      <c r="C198" s="13" t="s">
        <v>738</v>
      </c>
      <c r="D198" s="13" t="s">
        <v>26</v>
      </c>
      <c r="E198" s="13" t="s">
        <v>313</v>
      </c>
      <c r="F198" s="17" t="s">
        <v>286</v>
      </c>
    </row>
    <row r="199" spans="1:6">
      <c r="A199" s="13">
        <v>198</v>
      </c>
      <c r="B199" s="21" t="s">
        <v>739</v>
      </c>
      <c r="C199" s="26" t="s">
        <v>740</v>
      </c>
      <c r="D199" s="26" t="s">
        <v>35</v>
      </c>
      <c r="E199" s="26" t="s">
        <v>313</v>
      </c>
      <c r="F199" s="22" t="s">
        <v>286</v>
      </c>
    </row>
    <row r="200" spans="1:6">
      <c r="A200" s="13">
        <v>199</v>
      </c>
      <c r="B200" s="3" t="s">
        <v>741</v>
      </c>
      <c r="C200" s="13" t="s">
        <v>742</v>
      </c>
      <c r="D200" s="13" t="s">
        <v>30</v>
      </c>
      <c r="E200" s="13" t="s">
        <v>326</v>
      </c>
      <c r="F200" s="17" t="s">
        <v>286</v>
      </c>
    </row>
    <row r="201" spans="1:6">
      <c r="A201" s="13">
        <v>200</v>
      </c>
      <c r="B201" s="3" t="s">
        <v>743</v>
      </c>
      <c r="C201" s="13" t="s">
        <v>744</v>
      </c>
      <c r="D201" s="13" t="s">
        <v>35</v>
      </c>
      <c r="E201" s="13" t="s">
        <v>289</v>
      </c>
      <c r="F201" s="17" t="s">
        <v>286</v>
      </c>
    </row>
    <row r="202" spans="1:6">
      <c r="A202" s="13">
        <v>201</v>
      </c>
      <c r="B202" s="3" t="s">
        <v>745</v>
      </c>
      <c r="C202" s="13" t="s">
        <v>746</v>
      </c>
      <c r="D202" s="13" t="s">
        <v>35</v>
      </c>
      <c r="E202" s="13" t="s">
        <v>285</v>
      </c>
      <c r="F202" s="17" t="s">
        <v>286</v>
      </c>
    </row>
    <row r="203" spans="1:6">
      <c r="A203" s="13">
        <v>202</v>
      </c>
      <c r="B203" s="3" t="s">
        <v>747</v>
      </c>
      <c r="C203" s="13" t="s">
        <v>748</v>
      </c>
      <c r="D203" s="13" t="s">
        <v>65</v>
      </c>
      <c r="E203" s="13" t="s">
        <v>285</v>
      </c>
      <c r="F203" s="17" t="s">
        <v>286</v>
      </c>
    </row>
    <row r="204" spans="1:6">
      <c r="A204" s="13">
        <v>203</v>
      </c>
      <c r="B204" s="3" t="s">
        <v>749</v>
      </c>
      <c r="C204" s="13" t="s">
        <v>750</v>
      </c>
      <c r="D204" s="13" t="s">
        <v>65</v>
      </c>
      <c r="E204" s="13" t="s">
        <v>292</v>
      </c>
      <c r="F204" s="17" t="s">
        <v>286</v>
      </c>
    </row>
    <row r="205" spans="1:6">
      <c r="A205" s="13">
        <v>204</v>
      </c>
      <c r="B205" s="3" t="s">
        <v>751</v>
      </c>
      <c r="C205" s="13" t="s">
        <v>752</v>
      </c>
      <c r="D205" s="13" t="s">
        <v>35</v>
      </c>
      <c r="E205" s="13" t="s">
        <v>292</v>
      </c>
      <c r="F205" s="17" t="s">
        <v>286</v>
      </c>
    </row>
    <row r="206" spans="1:6">
      <c r="A206" s="13">
        <v>205</v>
      </c>
      <c r="B206" s="3" t="s">
        <v>753</v>
      </c>
      <c r="C206" s="13" t="s">
        <v>754</v>
      </c>
      <c r="D206" s="13" t="s">
        <v>35</v>
      </c>
      <c r="E206" s="13" t="s">
        <v>292</v>
      </c>
      <c r="F206" s="17" t="s">
        <v>286</v>
      </c>
    </row>
    <row r="207" spans="1:6">
      <c r="A207" s="13">
        <v>206</v>
      </c>
      <c r="B207" s="3" t="s">
        <v>755</v>
      </c>
      <c r="C207" s="13" t="s">
        <v>756</v>
      </c>
      <c r="D207" s="13" t="s">
        <v>35</v>
      </c>
      <c r="E207" s="13" t="s">
        <v>292</v>
      </c>
      <c r="F207" s="17" t="s">
        <v>286</v>
      </c>
    </row>
    <row r="208" spans="1:6">
      <c r="A208" s="13">
        <v>207</v>
      </c>
      <c r="B208" s="3" t="s">
        <v>757</v>
      </c>
      <c r="C208" s="13" t="s">
        <v>758</v>
      </c>
      <c r="D208" s="13" t="s">
        <v>35</v>
      </c>
      <c r="E208" s="13" t="s">
        <v>292</v>
      </c>
      <c r="F208" s="17" t="s">
        <v>286</v>
      </c>
    </row>
    <row r="209" spans="1:6">
      <c r="A209" s="13">
        <v>208</v>
      </c>
      <c r="B209" s="3" t="s">
        <v>759</v>
      </c>
      <c r="C209" s="13" t="s">
        <v>760</v>
      </c>
      <c r="D209" s="13" t="s">
        <v>35</v>
      </c>
      <c r="E209" s="13" t="s">
        <v>292</v>
      </c>
      <c r="F209" s="17" t="s">
        <v>286</v>
      </c>
    </row>
    <row r="210" spans="1:6">
      <c r="A210" s="13">
        <v>209</v>
      </c>
      <c r="B210" s="3" t="s">
        <v>761</v>
      </c>
      <c r="C210" s="13" t="s">
        <v>762</v>
      </c>
      <c r="D210" s="13" t="s">
        <v>35</v>
      </c>
      <c r="E210" s="13" t="s">
        <v>313</v>
      </c>
      <c r="F210" s="17" t="s">
        <v>286</v>
      </c>
    </row>
    <row r="211" spans="1:6">
      <c r="A211" s="13">
        <v>210</v>
      </c>
      <c r="B211" s="3" t="s">
        <v>763</v>
      </c>
      <c r="C211" s="13" t="s">
        <v>764</v>
      </c>
      <c r="D211" s="13" t="s">
        <v>35</v>
      </c>
      <c r="E211" s="13" t="s">
        <v>289</v>
      </c>
      <c r="F211" s="17" t="s">
        <v>286</v>
      </c>
    </row>
    <row r="212" spans="1:6">
      <c r="A212" s="13">
        <v>211</v>
      </c>
      <c r="B212" s="3" t="s">
        <v>765</v>
      </c>
      <c r="C212" s="13" t="s">
        <v>766</v>
      </c>
      <c r="D212" s="13" t="s">
        <v>35</v>
      </c>
      <c r="E212" s="13" t="s">
        <v>313</v>
      </c>
      <c r="F212" s="17" t="s">
        <v>286</v>
      </c>
    </row>
    <row r="213" spans="1:6">
      <c r="A213" s="13">
        <v>212</v>
      </c>
      <c r="B213" s="3" t="s">
        <v>767</v>
      </c>
      <c r="C213" s="13" t="s">
        <v>768</v>
      </c>
      <c r="D213" s="13" t="s">
        <v>35</v>
      </c>
      <c r="E213" s="13" t="s">
        <v>326</v>
      </c>
      <c r="F213" s="17" t="s">
        <v>286</v>
      </c>
    </row>
    <row r="214" spans="1:6">
      <c r="A214" s="13">
        <v>213</v>
      </c>
      <c r="B214" s="3" t="s">
        <v>769</v>
      </c>
      <c r="C214" s="13" t="s">
        <v>770</v>
      </c>
      <c r="D214" s="13" t="s">
        <v>35</v>
      </c>
      <c r="E214" s="13" t="s">
        <v>306</v>
      </c>
      <c r="F214" s="17" t="s">
        <v>771</v>
      </c>
    </row>
    <row r="215" spans="1:6">
      <c r="A215" s="13">
        <v>214</v>
      </c>
      <c r="B215" s="3" t="s">
        <v>772</v>
      </c>
      <c r="C215" s="13" t="s">
        <v>773</v>
      </c>
      <c r="D215" s="13" t="s">
        <v>35</v>
      </c>
      <c r="E215" s="13" t="s">
        <v>289</v>
      </c>
      <c r="F215" s="17" t="s">
        <v>286</v>
      </c>
    </row>
    <row r="216" spans="1:6">
      <c r="A216" s="13">
        <v>215</v>
      </c>
      <c r="B216" s="3" t="s">
        <v>774</v>
      </c>
      <c r="C216" s="13" t="s">
        <v>775</v>
      </c>
      <c r="D216" s="13" t="s">
        <v>26</v>
      </c>
      <c r="E216" s="13" t="s">
        <v>306</v>
      </c>
      <c r="F216" s="17" t="s">
        <v>776</v>
      </c>
    </row>
    <row r="217" spans="1:6">
      <c r="A217" s="13">
        <v>216</v>
      </c>
      <c r="B217" s="3" t="s">
        <v>777</v>
      </c>
      <c r="C217" s="13" t="s">
        <v>778</v>
      </c>
      <c r="D217" s="13" t="s">
        <v>26</v>
      </c>
      <c r="E217" s="13" t="s">
        <v>313</v>
      </c>
      <c r="F217" s="17" t="s">
        <v>286</v>
      </c>
    </row>
    <row r="218" spans="1:6">
      <c r="A218" s="13">
        <v>217</v>
      </c>
      <c r="B218" s="3" t="s">
        <v>779</v>
      </c>
      <c r="C218" s="13" t="s">
        <v>780</v>
      </c>
      <c r="D218" s="13" t="s">
        <v>26</v>
      </c>
      <c r="E218" s="13" t="s">
        <v>313</v>
      </c>
      <c r="F218" s="17" t="s">
        <v>286</v>
      </c>
    </row>
    <row r="219" spans="1:6">
      <c r="A219" s="13">
        <v>218</v>
      </c>
      <c r="B219" s="3" t="s">
        <v>781</v>
      </c>
      <c r="C219" s="13" t="s">
        <v>782</v>
      </c>
      <c r="D219" s="13" t="s">
        <v>65</v>
      </c>
      <c r="E219" s="13" t="s">
        <v>331</v>
      </c>
      <c r="F219" s="17" t="s">
        <v>783</v>
      </c>
    </row>
    <row r="220" spans="1:6">
      <c r="A220" s="13">
        <v>219</v>
      </c>
      <c r="B220" s="3" t="s">
        <v>784</v>
      </c>
      <c r="C220" s="13" t="s">
        <v>785</v>
      </c>
      <c r="D220" s="13" t="s">
        <v>35</v>
      </c>
      <c r="E220" s="13" t="s">
        <v>379</v>
      </c>
      <c r="F220" s="17" t="s">
        <v>497</v>
      </c>
    </row>
    <row r="221" spans="1:6">
      <c r="A221" s="13">
        <v>220</v>
      </c>
      <c r="B221" s="21" t="s">
        <v>786</v>
      </c>
      <c r="C221" s="26" t="s">
        <v>787</v>
      </c>
      <c r="D221" s="26" t="s">
        <v>35</v>
      </c>
      <c r="E221" s="26" t="s">
        <v>382</v>
      </c>
      <c r="F221" s="22" t="s">
        <v>497</v>
      </c>
    </row>
    <row r="222" spans="1:6">
      <c r="A222" s="13">
        <v>221</v>
      </c>
      <c r="B222" s="3" t="s">
        <v>788</v>
      </c>
      <c r="C222" s="13" t="s">
        <v>789</v>
      </c>
      <c r="D222" s="13" t="s">
        <v>26</v>
      </c>
      <c r="E222" s="13" t="s">
        <v>313</v>
      </c>
      <c r="F222" s="17" t="s">
        <v>790</v>
      </c>
    </row>
    <row r="223" spans="1:6">
      <c r="A223" s="13">
        <v>222</v>
      </c>
      <c r="B223" s="3" t="s">
        <v>791</v>
      </c>
      <c r="C223" s="13" t="s">
        <v>792</v>
      </c>
      <c r="D223" s="13" t="s">
        <v>26</v>
      </c>
      <c r="E223" s="13" t="s">
        <v>285</v>
      </c>
      <c r="F223" s="17" t="s">
        <v>286</v>
      </c>
    </row>
    <row r="224" spans="1:6">
      <c r="A224" s="13">
        <v>223</v>
      </c>
      <c r="B224" s="3" t="s">
        <v>793</v>
      </c>
      <c r="C224" s="13" t="s">
        <v>794</v>
      </c>
      <c r="D224" s="13" t="s">
        <v>65</v>
      </c>
      <c r="E224" s="13" t="s">
        <v>285</v>
      </c>
      <c r="F224" s="17" t="s">
        <v>795</v>
      </c>
    </row>
    <row r="225" spans="1:6">
      <c r="A225" s="13">
        <v>224</v>
      </c>
      <c r="B225" s="3" t="s">
        <v>796</v>
      </c>
      <c r="C225" s="13" t="s">
        <v>797</v>
      </c>
      <c r="D225" s="13" t="s">
        <v>35</v>
      </c>
      <c r="E225" s="13" t="s">
        <v>306</v>
      </c>
      <c r="F225" s="17" t="s">
        <v>798</v>
      </c>
    </row>
    <row r="226" spans="1:6">
      <c r="A226" s="13">
        <v>225</v>
      </c>
      <c r="B226" s="3" t="s">
        <v>799</v>
      </c>
      <c r="C226" s="13" t="s">
        <v>800</v>
      </c>
      <c r="D226" s="13" t="s">
        <v>35</v>
      </c>
      <c r="E226" s="13" t="s">
        <v>289</v>
      </c>
      <c r="F226" s="17" t="s">
        <v>286</v>
      </c>
    </row>
    <row r="227" spans="1:6">
      <c r="A227" s="13">
        <v>226</v>
      </c>
      <c r="B227" s="3" t="s">
        <v>801</v>
      </c>
      <c r="C227" s="13" t="s">
        <v>802</v>
      </c>
      <c r="D227" s="13" t="s">
        <v>35</v>
      </c>
      <c r="E227" s="13" t="s">
        <v>289</v>
      </c>
      <c r="F227" s="17" t="s">
        <v>286</v>
      </c>
    </row>
    <row r="228" spans="1:6">
      <c r="A228" s="13">
        <v>227</v>
      </c>
      <c r="B228" s="3" t="s">
        <v>803</v>
      </c>
      <c r="C228" s="13" t="s">
        <v>804</v>
      </c>
      <c r="D228" s="13" t="s">
        <v>35</v>
      </c>
      <c r="E228" s="13" t="s">
        <v>285</v>
      </c>
      <c r="F228" s="17" t="s">
        <v>286</v>
      </c>
    </row>
    <row r="229" spans="1:6">
      <c r="A229" s="13">
        <v>228</v>
      </c>
      <c r="B229" s="3" t="s">
        <v>805</v>
      </c>
      <c r="C229" s="13" t="s">
        <v>806</v>
      </c>
      <c r="D229" s="13" t="s">
        <v>35</v>
      </c>
      <c r="E229" s="13" t="s">
        <v>313</v>
      </c>
      <c r="F229" s="17" t="s">
        <v>286</v>
      </c>
    </row>
    <row r="230" spans="1:6">
      <c r="A230" s="13">
        <v>229</v>
      </c>
      <c r="B230" s="3" t="s">
        <v>807</v>
      </c>
      <c r="C230" s="13" t="s">
        <v>808</v>
      </c>
      <c r="D230" s="13" t="s">
        <v>35</v>
      </c>
      <c r="E230" s="13" t="s">
        <v>313</v>
      </c>
      <c r="F230" s="17" t="s">
        <v>286</v>
      </c>
    </row>
    <row r="231" spans="1:6">
      <c r="A231" s="13">
        <v>230</v>
      </c>
      <c r="B231" s="3" t="s">
        <v>809</v>
      </c>
      <c r="C231" s="13" t="s">
        <v>810</v>
      </c>
      <c r="D231" s="13" t="s">
        <v>35</v>
      </c>
      <c r="E231" s="13" t="s">
        <v>292</v>
      </c>
      <c r="F231" s="17" t="s">
        <v>286</v>
      </c>
    </row>
    <row r="232" spans="1:6">
      <c r="A232" s="13">
        <v>231</v>
      </c>
      <c r="B232" s="3" t="s">
        <v>811</v>
      </c>
      <c r="C232" s="13" t="s">
        <v>812</v>
      </c>
      <c r="D232" s="13" t="s">
        <v>35</v>
      </c>
      <c r="E232" s="13" t="s">
        <v>326</v>
      </c>
      <c r="F232" s="17" t="s">
        <v>286</v>
      </c>
    </row>
    <row r="233" spans="1:6">
      <c r="A233" s="13">
        <v>232</v>
      </c>
      <c r="B233" s="3" t="s">
        <v>813</v>
      </c>
      <c r="C233" s="13" t="s">
        <v>814</v>
      </c>
      <c r="D233" s="13" t="s">
        <v>35</v>
      </c>
      <c r="E233" s="13" t="s">
        <v>306</v>
      </c>
      <c r="F233" s="17" t="s">
        <v>286</v>
      </c>
    </row>
    <row r="234" spans="1:6">
      <c r="A234" s="13">
        <v>233</v>
      </c>
      <c r="B234" s="3" t="s">
        <v>815</v>
      </c>
      <c r="C234" s="13" t="s">
        <v>816</v>
      </c>
      <c r="D234" s="13" t="s">
        <v>26</v>
      </c>
      <c r="E234" s="13" t="s">
        <v>326</v>
      </c>
      <c r="F234" s="17" t="s">
        <v>286</v>
      </c>
    </row>
    <row r="235" spans="1:6">
      <c r="A235" s="13">
        <v>234</v>
      </c>
      <c r="B235" s="3" t="s">
        <v>817</v>
      </c>
      <c r="C235" s="13" t="s">
        <v>818</v>
      </c>
      <c r="D235" s="13" t="s">
        <v>26</v>
      </c>
      <c r="E235" s="13" t="s">
        <v>285</v>
      </c>
      <c r="F235" s="17" t="s">
        <v>286</v>
      </c>
    </row>
    <row r="236" spans="1:6">
      <c r="A236" s="13">
        <v>235</v>
      </c>
      <c r="B236" s="3" t="s">
        <v>819</v>
      </c>
      <c r="C236" s="13" t="s">
        <v>820</v>
      </c>
      <c r="D236" s="13" t="s">
        <v>26</v>
      </c>
      <c r="E236" s="13" t="s">
        <v>331</v>
      </c>
      <c r="F236" s="17" t="s">
        <v>821</v>
      </c>
    </row>
    <row r="237" spans="1:6">
      <c r="A237" s="13">
        <v>236</v>
      </c>
      <c r="B237" s="3" t="s">
        <v>822</v>
      </c>
      <c r="C237" s="13" t="s">
        <v>823</v>
      </c>
      <c r="D237" s="13" t="s">
        <v>26</v>
      </c>
      <c r="E237" s="13" t="s">
        <v>379</v>
      </c>
      <c r="F237" s="17" t="s">
        <v>497</v>
      </c>
    </row>
    <row r="238" spans="1:6">
      <c r="A238" s="13">
        <v>237</v>
      </c>
      <c r="B238" s="3" t="s">
        <v>824</v>
      </c>
      <c r="C238" s="13" t="s">
        <v>825</v>
      </c>
      <c r="D238" s="13" t="s">
        <v>35</v>
      </c>
      <c r="E238" s="13" t="s">
        <v>285</v>
      </c>
      <c r="F238" s="17" t="s">
        <v>286</v>
      </c>
    </row>
    <row r="239" spans="1:6">
      <c r="A239" s="13">
        <v>238</v>
      </c>
      <c r="B239" s="3" t="s">
        <v>826</v>
      </c>
      <c r="C239" s="13" t="s">
        <v>827</v>
      </c>
      <c r="D239" s="13" t="s">
        <v>65</v>
      </c>
      <c r="E239" s="13" t="s">
        <v>292</v>
      </c>
      <c r="F239" s="17" t="s">
        <v>286</v>
      </c>
    </row>
    <row r="240" spans="1:6">
      <c r="A240" s="13">
        <v>239</v>
      </c>
      <c r="B240" s="3" t="s">
        <v>828</v>
      </c>
      <c r="C240" s="13" t="s">
        <v>829</v>
      </c>
      <c r="D240" s="13" t="s">
        <v>35</v>
      </c>
      <c r="E240" s="13" t="s">
        <v>382</v>
      </c>
      <c r="F240" s="17" t="s">
        <v>497</v>
      </c>
    </row>
    <row r="241" spans="1:6">
      <c r="A241" s="13">
        <v>240</v>
      </c>
      <c r="B241" s="3" t="s">
        <v>830</v>
      </c>
      <c r="C241" s="13" t="s">
        <v>831</v>
      </c>
      <c r="D241" s="13" t="s">
        <v>35</v>
      </c>
      <c r="E241" s="13" t="s">
        <v>472</v>
      </c>
      <c r="F241" s="17" t="s">
        <v>832</v>
      </c>
    </row>
    <row r="242" spans="1:6">
      <c r="A242" s="13">
        <v>241</v>
      </c>
      <c r="B242" s="3" t="s">
        <v>833</v>
      </c>
      <c r="C242" s="13" t="s">
        <v>834</v>
      </c>
      <c r="D242" s="13" t="s">
        <v>26</v>
      </c>
      <c r="E242" s="13" t="s">
        <v>292</v>
      </c>
      <c r="F242" s="17" t="s">
        <v>286</v>
      </c>
    </row>
    <row r="243" spans="1:6">
      <c r="A243" s="13">
        <v>242</v>
      </c>
      <c r="B243" s="3" t="s">
        <v>835</v>
      </c>
      <c r="C243" s="13" t="s">
        <v>836</v>
      </c>
      <c r="D243" s="13" t="s">
        <v>26</v>
      </c>
      <c r="E243" s="13" t="s">
        <v>475</v>
      </c>
      <c r="F243" s="17" t="s">
        <v>286</v>
      </c>
    </row>
    <row r="244" spans="1:6">
      <c r="A244" s="13">
        <v>243</v>
      </c>
      <c r="B244" s="3" t="s">
        <v>837</v>
      </c>
      <c r="C244" s="13" t="s">
        <v>838</v>
      </c>
      <c r="D244" s="13" t="s">
        <v>65</v>
      </c>
      <c r="E244" s="13" t="s">
        <v>289</v>
      </c>
      <c r="F244" s="17" t="s">
        <v>839</v>
      </c>
    </row>
    <row r="245" spans="1:6">
      <c r="A245" s="13">
        <v>244</v>
      </c>
      <c r="B245" s="3" t="s">
        <v>840</v>
      </c>
      <c r="C245" s="13" t="s">
        <v>841</v>
      </c>
      <c r="D245" s="13" t="s">
        <v>65</v>
      </c>
      <c r="E245" s="13" t="s">
        <v>289</v>
      </c>
      <c r="F245" s="17" t="s">
        <v>839</v>
      </c>
    </row>
    <row r="246" spans="1:6">
      <c r="A246" s="13">
        <v>245</v>
      </c>
      <c r="B246" s="3" t="s">
        <v>842</v>
      </c>
      <c r="C246" s="13" t="s">
        <v>843</v>
      </c>
      <c r="D246" s="13" t="s">
        <v>65</v>
      </c>
      <c r="E246" s="13" t="s">
        <v>289</v>
      </c>
      <c r="F246" s="17" t="s">
        <v>839</v>
      </c>
    </row>
    <row r="247" spans="1:6">
      <c r="A247" s="13">
        <v>246</v>
      </c>
      <c r="B247" s="21" t="s">
        <v>844</v>
      </c>
      <c r="C247" s="26" t="s">
        <v>845</v>
      </c>
      <c r="D247" s="26" t="s">
        <v>35</v>
      </c>
      <c r="E247" s="26" t="s">
        <v>326</v>
      </c>
      <c r="F247" s="22" t="s">
        <v>846</v>
      </c>
    </row>
    <row r="248" spans="1:6">
      <c r="A248" s="13">
        <v>247</v>
      </c>
      <c r="B248" s="3" t="s">
        <v>847</v>
      </c>
      <c r="C248" s="13" t="s">
        <v>848</v>
      </c>
      <c r="D248" s="13" t="s">
        <v>26</v>
      </c>
      <c r="E248" s="13" t="s">
        <v>289</v>
      </c>
      <c r="F248" s="17" t="s">
        <v>286</v>
      </c>
    </row>
    <row r="249" spans="1:6">
      <c r="A249" s="13">
        <v>248</v>
      </c>
      <c r="B249" s="3" t="s">
        <v>849</v>
      </c>
      <c r="C249" s="13" t="s">
        <v>850</v>
      </c>
      <c r="D249" s="13" t="s">
        <v>26</v>
      </c>
      <c r="E249" s="13" t="s">
        <v>289</v>
      </c>
      <c r="F249" s="17" t="s">
        <v>286</v>
      </c>
    </row>
    <row r="250" spans="1:6">
      <c r="A250" s="13">
        <v>249</v>
      </c>
      <c r="B250" s="3" t="s">
        <v>851</v>
      </c>
      <c r="C250" s="13" t="s">
        <v>852</v>
      </c>
      <c r="D250" s="13" t="s">
        <v>65</v>
      </c>
      <c r="E250" s="13" t="s">
        <v>853</v>
      </c>
      <c r="F250" s="17" t="s">
        <v>286</v>
      </c>
    </row>
    <row r="251" spans="1:6">
      <c r="A251" s="13">
        <v>250</v>
      </c>
      <c r="B251" s="3" t="s">
        <v>854</v>
      </c>
      <c r="C251" s="13" t="s">
        <v>855</v>
      </c>
      <c r="D251" s="13" t="s">
        <v>26</v>
      </c>
      <c r="E251" s="13" t="s">
        <v>856</v>
      </c>
      <c r="F251" s="17" t="s">
        <v>286</v>
      </c>
    </row>
    <row r="252" spans="1:6">
      <c r="A252" s="13">
        <v>251</v>
      </c>
      <c r="B252" s="3" t="s">
        <v>857</v>
      </c>
      <c r="C252" s="13" t="s">
        <v>858</v>
      </c>
      <c r="D252" s="13" t="s">
        <v>26</v>
      </c>
      <c r="E252" s="13" t="s">
        <v>285</v>
      </c>
      <c r="F252" s="17" t="s">
        <v>286</v>
      </c>
    </row>
    <row r="253" spans="1:6">
      <c r="A253" s="13">
        <v>252</v>
      </c>
      <c r="B253" s="3" t="s">
        <v>859</v>
      </c>
      <c r="C253" s="13" t="s">
        <v>860</v>
      </c>
      <c r="D253" s="13" t="s">
        <v>26</v>
      </c>
      <c r="E253" s="13" t="s">
        <v>326</v>
      </c>
      <c r="F253" s="17" t="s">
        <v>286</v>
      </c>
    </row>
    <row r="254" spans="1:6">
      <c r="A254" s="13">
        <v>253</v>
      </c>
      <c r="B254" s="3" t="s">
        <v>861</v>
      </c>
      <c r="C254" s="13" t="s">
        <v>862</v>
      </c>
      <c r="D254" s="13" t="s">
        <v>26</v>
      </c>
      <c r="E254" s="13" t="s">
        <v>385</v>
      </c>
      <c r="F254" s="17" t="s">
        <v>286</v>
      </c>
    </row>
    <row r="255" spans="1:6">
      <c r="A255" s="13">
        <v>254</v>
      </c>
      <c r="B255" s="3" t="s">
        <v>863</v>
      </c>
      <c r="C255" s="13" t="s">
        <v>864</v>
      </c>
      <c r="D255" s="13" t="s">
        <v>26</v>
      </c>
      <c r="E255" s="13" t="s">
        <v>385</v>
      </c>
      <c r="F255" s="17" t="s">
        <v>286</v>
      </c>
    </row>
    <row r="256" spans="1:6">
      <c r="A256" s="13">
        <v>255</v>
      </c>
      <c r="B256" s="3" t="s">
        <v>865</v>
      </c>
      <c r="C256" s="13" t="s">
        <v>866</v>
      </c>
      <c r="D256" s="13" t="s">
        <v>26</v>
      </c>
      <c r="E256" s="13" t="s">
        <v>326</v>
      </c>
      <c r="F256" s="17" t="s">
        <v>286</v>
      </c>
    </row>
    <row r="257" spans="1:6">
      <c r="A257" s="13">
        <v>256</v>
      </c>
      <c r="B257" s="3" t="s">
        <v>867</v>
      </c>
      <c r="C257" s="13" t="s">
        <v>868</v>
      </c>
      <c r="D257" s="13" t="s">
        <v>26</v>
      </c>
      <c r="E257" s="13" t="s">
        <v>306</v>
      </c>
      <c r="F257" s="17" t="s">
        <v>286</v>
      </c>
    </row>
    <row r="258" spans="1:6">
      <c r="A258" s="13">
        <v>257</v>
      </c>
      <c r="B258" s="3" t="s">
        <v>869</v>
      </c>
      <c r="C258" s="13" t="s">
        <v>870</v>
      </c>
      <c r="D258" t="s">
        <v>65</v>
      </c>
      <c r="E258" s="13" t="s">
        <v>285</v>
      </c>
      <c r="F258" s="17" t="s">
        <v>286</v>
      </c>
    </row>
    <row r="259" spans="1:6">
      <c r="A259" s="13">
        <v>258</v>
      </c>
      <c r="B259" s="3" t="s">
        <v>871</v>
      </c>
      <c r="C259" s="13" t="s">
        <v>872</v>
      </c>
      <c r="D259" t="s">
        <v>26</v>
      </c>
      <c r="E259" s="13" t="s">
        <v>285</v>
      </c>
      <c r="F259" s="17" t="s">
        <v>286</v>
      </c>
    </row>
    <row r="260" spans="1:6">
      <c r="A260" s="13">
        <v>259</v>
      </c>
      <c r="B260" s="3" t="s">
        <v>873</v>
      </c>
      <c r="C260" s="13" t="s">
        <v>874</v>
      </c>
      <c r="D260" t="s">
        <v>35</v>
      </c>
      <c r="E260" s="13" t="s">
        <v>285</v>
      </c>
      <c r="F260" s="17" t="s">
        <v>286</v>
      </c>
    </row>
    <row r="261" spans="1:6">
      <c r="A261" s="13">
        <v>260</v>
      </c>
      <c r="B261" s="3" t="s">
        <v>875</v>
      </c>
      <c r="C261" s="13" t="s">
        <v>876</v>
      </c>
      <c r="D261" s="13" t="s">
        <v>35</v>
      </c>
      <c r="E261" s="13" t="s">
        <v>292</v>
      </c>
      <c r="F261" s="17" t="s">
        <v>286</v>
      </c>
    </row>
    <row r="262" spans="1:6">
      <c r="A262" s="13">
        <v>261</v>
      </c>
      <c r="B262" s="3" t="s">
        <v>877</v>
      </c>
      <c r="C262" s="13" t="s">
        <v>878</v>
      </c>
      <c r="D262" s="13" t="s">
        <v>35</v>
      </c>
      <c r="E262" s="13" t="s">
        <v>313</v>
      </c>
      <c r="F262" s="17" t="s">
        <v>286</v>
      </c>
    </row>
    <row r="263" spans="1:6">
      <c r="A263" s="13">
        <v>262</v>
      </c>
      <c r="B263" s="3" t="s">
        <v>879</v>
      </c>
      <c r="C263" s="13" t="s">
        <v>880</v>
      </c>
      <c r="D263" s="13" t="s">
        <v>35</v>
      </c>
      <c r="E263" s="13" t="s">
        <v>292</v>
      </c>
      <c r="F263" s="17" t="s">
        <v>286</v>
      </c>
    </row>
    <row r="264" spans="1:6">
      <c r="A264" s="13">
        <v>263</v>
      </c>
      <c r="B264" s="3" t="s">
        <v>881</v>
      </c>
      <c r="C264" s="13" t="s">
        <v>882</v>
      </c>
      <c r="D264" s="13" t="s">
        <v>65</v>
      </c>
      <c r="E264" s="13" t="s">
        <v>289</v>
      </c>
      <c r="F264" s="17" t="s">
        <v>286</v>
      </c>
    </row>
    <row r="265" spans="1:6">
      <c r="A265" s="13">
        <v>264</v>
      </c>
      <c r="B265" s="3" t="s">
        <v>883</v>
      </c>
      <c r="C265" s="13" t="s">
        <v>884</v>
      </c>
      <c r="D265" s="13" t="s">
        <v>65</v>
      </c>
      <c r="E265" s="13" t="s">
        <v>289</v>
      </c>
      <c r="F265" s="17" t="s">
        <v>286</v>
      </c>
    </row>
    <row r="266" spans="1:6">
      <c r="A266" s="13">
        <v>265</v>
      </c>
      <c r="B266" s="3" t="s">
        <v>885</v>
      </c>
      <c r="C266" s="13" t="s">
        <v>886</v>
      </c>
      <c r="D266" s="13" t="s">
        <v>65</v>
      </c>
      <c r="E266" s="13" t="s">
        <v>289</v>
      </c>
      <c r="F266" s="17" t="s">
        <v>286</v>
      </c>
    </row>
    <row r="267" spans="1:6">
      <c r="A267" s="13">
        <v>266</v>
      </c>
      <c r="B267" s="3" t="s">
        <v>887</v>
      </c>
      <c r="C267" s="13" t="s">
        <v>888</v>
      </c>
      <c r="D267" s="13" t="s">
        <v>65</v>
      </c>
      <c r="E267" s="13" t="s">
        <v>289</v>
      </c>
      <c r="F267" s="17" t="s">
        <v>286</v>
      </c>
    </row>
    <row r="268" spans="1:6">
      <c r="A268" s="13">
        <v>267</v>
      </c>
      <c r="B268" s="21" t="s">
        <v>889</v>
      </c>
      <c r="C268" s="26" t="s">
        <v>890</v>
      </c>
      <c r="D268" s="13" t="s">
        <v>65</v>
      </c>
      <c r="E268" s="26" t="s">
        <v>285</v>
      </c>
      <c r="F268" s="22" t="s">
        <v>286</v>
      </c>
    </row>
    <row r="269" spans="1:6">
      <c r="A269" s="13">
        <v>268</v>
      </c>
      <c r="B269" s="3" t="s">
        <v>891</v>
      </c>
      <c r="C269" s="13" t="s">
        <v>892</v>
      </c>
      <c r="D269" s="13" t="s">
        <v>26</v>
      </c>
      <c r="E269" s="13" t="s">
        <v>292</v>
      </c>
      <c r="F269" s="17" t="s">
        <v>286</v>
      </c>
    </row>
    <row r="270" spans="1:6">
      <c r="A270" s="13">
        <v>269</v>
      </c>
      <c r="B270" s="3" t="s">
        <v>893</v>
      </c>
      <c r="C270" s="13" t="s">
        <v>894</v>
      </c>
      <c r="D270" s="13" t="s">
        <v>26</v>
      </c>
      <c r="E270" s="13" t="s">
        <v>306</v>
      </c>
      <c r="F270" s="17" t="s">
        <v>286</v>
      </c>
    </row>
    <row r="271" spans="1:6">
      <c r="A271" s="13">
        <v>270</v>
      </c>
      <c r="B271" s="3" t="s">
        <v>895</v>
      </c>
      <c r="C271" s="13" t="s">
        <v>896</v>
      </c>
      <c r="D271" s="13" t="s">
        <v>26</v>
      </c>
      <c r="E271" s="13" t="s">
        <v>331</v>
      </c>
      <c r="F271" s="17" t="s">
        <v>497</v>
      </c>
    </row>
    <row r="272" spans="1:6">
      <c r="A272" s="13">
        <v>271</v>
      </c>
      <c r="B272" s="3" t="s">
        <v>897</v>
      </c>
      <c r="C272" s="13" t="s">
        <v>898</v>
      </c>
      <c r="D272" s="13" t="s">
        <v>26</v>
      </c>
      <c r="E272" s="13" t="s">
        <v>379</v>
      </c>
      <c r="F272" s="17" t="s">
        <v>497</v>
      </c>
    </row>
    <row r="273" spans="1:6">
      <c r="A273" s="13">
        <v>272</v>
      </c>
      <c r="B273" s="3" t="s">
        <v>899</v>
      </c>
      <c r="C273" s="13" t="s">
        <v>900</v>
      </c>
      <c r="D273" s="13" t="s">
        <v>26</v>
      </c>
      <c r="E273" s="13" t="s">
        <v>382</v>
      </c>
      <c r="F273" s="17" t="s">
        <v>901</v>
      </c>
    </row>
    <row r="274" spans="1:6">
      <c r="A274" s="13">
        <v>273</v>
      </c>
      <c r="B274" s="3" t="s">
        <v>902</v>
      </c>
      <c r="C274" s="13" t="s">
        <v>903</v>
      </c>
      <c r="D274" s="13" t="s">
        <v>26</v>
      </c>
      <c r="E274" s="13" t="s">
        <v>472</v>
      </c>
      <c r="F274" s="17" t="s">
        <v>904</v>
      </c>
    </row>
    <row r="275" spans="1:6">
      <c r="A275" s="13">
        <v>274</v>
      </c>
      <c r="B275" s="3" t="s">
        <v>905</v>
      </c>
      <c r="C275" s="13" t="s">
        <v>906</v>
      </c>
      <c r="D275" s="13" t="s">
        <v>26</v>
      </c>
      <c r="E275" s="13" t="s">
        <v>856</v>
      </c>
      <c r="F275" s="17" t="s">
        <v>286</v>
      </c>
    </row>
    <row r="276" spans="1:6">
      <c r="A276" s="13">
        <v>275</v>
      </c>
      <c r="B276" s="3" t="s">
        <v>907</v>
      </c>
      <c r="C276" s="13" t="s">
        <v>908</v>
      </c>
      <c r="D276" s="13" t="s">
        <v>26</v>
      </c>
      <c r="E276" s="13" t="s">
        <v>306</v>
      </c>
      <c r="F276" s="17" t="s">
        <v>909</v>
      </c>
    </row>
    <row r="277" spans="1:6">
      <c r="A277" s="13">
        <v>276</v>
      </c>
      <c r="B277" s="3" t="s">
        <v>910</v>
      </c>
      <c r="C277" s="13" t="s">
        <v>911</v>
      </c>
      <c r="D277" s="13" t="s">
        <v>26</v>
      </c>
      <c r="E277" s="13" t="s">
        <v>285</v>
      </c>
      <c r="F277" s="17" t="s">
        <v>912</v>
      </c>
    </row>
    <row r="278" spans="1:6">
      <c r="A278" s="13">
        <v>277</v>
      </c>
      <c r="B278" s="3" t="s">
        <v>913</v>
      </c>
      <c r="C278" s="13" t="s">
        <v>914</v>
      </c>
      <c r="D278" s="13" t="s">
        <v>65</v>
      </c>
      <c r="E278" s="13" t="s">
        <v>285</v>
      </c>
      <c r="F278" s="17" t="s">
        <v>286</v>
      </c>
    </row>
    <row r="279" spans="1:6">
      <c r="A279" s="13">
        <v>278</v>
      </c>
      <c r="B279" s="3" t="s">
        <v>915</v>
      </c>
      <c r="C279" s="13" t="s">
        <v>916</v>
      </c>
      <c r="D279" s="13" t="s">
        <v>26</v>
      </c>
      <c r="E279" s="13" t="s">
        <v>313</v>
      </c>
      <c r="F279" s="17" t="s">
        <v>286</v>
      </c>
    </row>
    <row r="280" spans="1:6">
      <c r="A280" s="13">
        <v>279</v>
      </c>
      <c r="B280" s="3" t="s">
        <v>917</v>
      </c>
      <c r="C280" s="13" t="s">
        <v>918</v>
      </c>
      <c r="D280" s="13" t="s">
        <v>919</v>
      </c>
      <c r="E280" s="13" t="s">
        <v>289</v>
      </c>
      <c r="F280" s="17" t="s">
        <v>286</v>
      </c>
    </row>
    <row r="281" spans="1:6">
      <c r="A281" s="13">
        <v>280</v>
      </c>
      <c r="B281" s="3" t="s">
        <v>920</v>
      </c>
      <c r="C281" s="13" t="s">
        <v>921</v>
      </c>
      <c r="D281" s="13" t="s">
        <v>919</v>
      </c>
      <c r="E281" s="13" t="s">
        <v>292</v>
      </c>
      <c r="F281" s="17" t="s">
        <v>286</v>
      </c>
    </row>
    <row r="282" spans="1:6">
      <c r="A282" s="13">
        <v>281</v>
      </c>
      <c r="B282" s="3" t="s">
        <v>922</v>
      </c>
      <c r="C282" s="13" t="s">
        <v>923</v>
      </c>
      <c r="D282" s="13" t="s">
        <v>919</v>
      </c>
      <c r="E282" s="13" t="s">
        <v>292</v>
      </c>
      <c r="F282" s="17" t="s">
        <v>286</v>
      </c>
    </row>
    <row r="283" spans="1:6">
      <c r="A283" s="13">
        <v>282</v>
      </c>
      <c r="B283" s="3" t="s">
        <v>924</v>
      </c>
      <c r="C283" s="13" t="s">
        <v>925</v>
      </c>
      <c r="D283" s="13" t="s">
        <v>919</v>
      </c>
      <c r="E283" s="13" t="s">
        <v>292</v>
      </c>
      <c r="F283" s="17" t="s">
        <v>286</v>
      </c>
    </row>
    <row r="284" spans="1:6">
      <c r="A284" s="13">
        <v>283</v>
      </c>
      <c r="B284" s="3" t="s">
        <v>926</v>
      </c>
      <c r="C284" s="13" t="s">
        <v>927</v>
      </c>
      <c r="D284" s="13" t="s">
        <v>919</v>
      </c>
      <c r="E284" s="13" t="s">
        <v>292</v>
      </c>
      <c r="F284" s="17" t="s">
        <v>286</v>
      </c>
    </row>
    <row r="285" spans="1:6">
      <c r="A285" s="13">
        <v>284</v>
      </c>
      <c r="B285" s="3" t="s">
        <v>928</v>
      </c>
      <c r="C285" s="13" t="s">
        <v>929</v>
      </c>
      <c r="D285" s="13" t="s">
        <v>919</v>
      </c>
      <c r="E285" s="13" t="s">
        <v>289</v>
      </c>
      <c r="F285" s="17" t="s">
        <v>286</v>
      </c>
    </row>
    <row r="286" spans="1:6">
      <c r="A286" s="13">
        <v>285</v>
      </c>
      <c r="B286" s="3" t="s">
        <v>930</v>
      </c>
      <c r="C286" s="13" t="s">
        <v>931</v>
      </c>
      <c r="D286" s="13" t="s">
        <v>919</v>
      </c>
      <c r="E286" s="13" t="s">
        <v>313</v>
      </c>
      <c r="F286" s="17" t="s">
        <v>286</v>
      </c>
    </row>
    <row r="287" spans="1:6">
      <c r="A287" s="13">
        <v>286</v>
      </c>
      <c r="B287" s="3" t="s">
        <v>932</v>
      </c>
      <c r="C287" s="13" t="s">
        <v>933</v>
      </c>
      <c r="D287" s="13" t="s">
        <v>919</v>
      </c>
      <c r="E287" s="13" t="s">
        <v>313</v>
      </c>
      <c r="F287" s="17" t="s">
        <v>286</v>
      </c>
    </row>
    <row r="288" spans="1:6">
      <c r="A288" s="13">
        <v>287</v>
      </c>
      <c r="B288" s="3" t="s">
        <v>934</v>
      </c>
      <c r="C288" s="13" t="s">
        <v>935</v>
      </c>
      <c r="D288" s="13" t="s">
        <v>919</v>
      </c>
      <c r="E288" s="13" t="s">
        <v>313</v>
      </c>
      <c r="F288" s="17" t="s">
        <v>286</v>
      </c>
    </row>
    <row r="289" spans="1:6">
      <c r="A289" s="13">
        <v>288</v>
      </c>
      <c r="B289" s="3" t="s">
        <v>936</v>
      </c>
      <c r="C289" s="13" t="s">
        <v>937</v>
      </c>
      <c r="D289" s="13" t="s">
        <v>35</v>
      </c>
      <c r="E289" s="13" t="s">
        <v>313</v>
      </c>
      <c r="F289" s="17" t="s">
        <v>286</v>
      </c>
    </row>
    <row r="290" spans="1:6">
      <c r="A290" s="13">
        <v>289</v>
      </c>
      <c r="B290" s="3" t="s">
        <v>938</v>
      </c>
      <c r="C290" s="13" t="s">
        <v>939</v>
      </c>
      <c r="D290" s="13" t="s">
        <v>35</v>
      </c>
      <c r="E290" s="13" t="s">
        <v>306</v>
      </c>
      <c r="F290" s="17" t="s">
        <v>286</v>
      </c>
    </row>
    <row r="291" spans="1:6">
      <c r="A291" s="13">
        <v>290</v>
      </c>
      <c r="B291" s="3" t="s">
        <v>940</v>
      </c>
      <c r="C291" s="13" t="s">
        <v>941</v>
      </c>
      <c r="D291" s="13" t="s">
        <v>35</v>
      </c>
      <c r="E291" s="13" t="s">
        <v>331</v>
      </c>
      <c r="F291" s="17" t="s">
        <v>942</v>
      </c>
    </row>
    <row r="292" spans="1:6">
      <c r="A292" s="13">
        <v>291</v>
      </c>
      <c r="B292" s="3" t="s">
        <v>943</v>
      </c>
      <c r="C292" s="13" t="s">
        <v>944</v>
      </c>
      <c r="D292" s="13" t="s">
        <v>35</v>
      </c>
      <c r="E292" s="13" t="s">
        <v>379</v>
      </c>
      <c r="F292" s="17" t="s">
        <v>497</v>
      </c>
    </row>
    <row r="293" spans="1:6">
      <c r="A293" s="13">
        <v>292</v>
      </c>
      <c r="B293" s="3" t="s">
        <v>945</v>
      </c>
      <c r="C293" s="13" t="s">
        <v>946</v>
      </c>
      <c r="D293" s="13" t="s">
        <v>35</v>
      </c>
      <c r="E293" s="13" t="s">
        <v>382</v>
      </c>
      <c r="F293" s="17" t="s">
        <v>947</v>
      </c>
    </row>
    <row r="294" spans="1:6">
      <c r="A294" s="13">
        <v>293</v>
      </c>
      <c r="B294" s="3" t="s">
        <v>948</v>
      </c>
      <c r="C294" s="13" t="s">
        <v>949</v>
      </c>
      <c r="D294" s="13" t="s">
        <v>35</v>
      </c>
      <c r="E294" s="13" t="s">
        <v>306</v>
      </c>
      <c r="F294" s="17" t="s">
        <v>950</v>
      </c>
    </row>
    <row r="295" spans="1:6">
      <c r="A295" s="13">
        <v>294</v>
      </c>
      <c r="B295" s="3" t="s">
        <v>951</v>
      </c>
      <c r="C295" s="13" t="s">
        <v>952</v>
      </c>
      <c r="D295" s="13" t="s">
        <v>35</v>
      </c>
      <c r="E295" s="13" t="s">
        <v>289</v>
      </c>
      <c r="F295" s="17" t="s">
        <v>286</v>
      </c>
    </row>
    <row r="296" spans="1:6">
      <c r="A296" s="13">
        <v>295</v>
      </c>
      <c r="B296" s="3" t="s">
        <v>953</v>
      </c>
      <c r="C296" s="13" t="s">
        <v>954</v>
      </c>
      <c r="D296" s="13" t="s">
        <v>35</v>
      </c>
      <c r="E296" s="13" t="s">
        <v>289</v>
      </c>
      <c r="F296" s="17" t="s">
        <v>286</v>
      </c>
    </row>
    <row r="297" spans="1:6">
      <c r="A297" s="13">
        <v>296</v>
      </c>
      <c r="B297" s="3" t="s">
        <v>955</v>
      </c>
      <c r="C297" s="13" t="s">
        <v>956</v>
      </c>
      <c r="D297" s="13" t="s">
        <v>65</v>
      </c>
      <c r="E297" s="13" t="s">
        <v>289</v>
      </c>
      <c r="F297" s="17" t="s">
        <v>286</v>
      </c>
    </row>
    <row r="298" spans="1:6">
      <c r="A298" s="13">
        <v>297</v>
      </c>
      <c r="B298" s="3" t="s">
        <v>957</v>
      </c>
      <c r="C298" s="13" t="s">
        <v>958</v>
      </c>
      <c r="D298" s="13" t="s">
        <v>35</v>
      </c>
      <c r="E298" s="13" t="s">
        <v>289</v>
      </c>
      <c r="F298" s="17" t="s">
        <v>286</v>
      </c>
    </row>
    <row r="299" spans="1:6">
      <c r="A299" s="13">
        <v>298</v>
      </c>
      <c r="B299" s="21" t="s">
        <v>959</v>
      </c>
      <c r="C299" s="26" t="s">
        <v>960</v>
      </c>
      <c r="D299" s="13" t="s">
        <v>35</v>
      </c>
      <c r="E299" s="26" t="s">
        <v>289</v>
      </c>
      <c r="F299" s="22" t="s">
        <v>286</v>
      </c>
    </row>
    <row r="300" spans="1:6">
      <c r="A300" s="13">
        <v>299</v>
      </c>
      <c r="B300" s="3" t="s">
        <v>961</v>
      </c>
      <c r="C300" s="13" t="s">
        <v>962</v>
      </c>
      <c r="D300" s="13" t="s">
        <v>26</v>
      </c>
      <c r="E300" s="13" t="s">
        <v>289</v>
      </c>
      <c r="F300" s="17" t="s">
        <v>286</v>
      </c>
    </row>
    <row r="301" spans="1:6">
      <c r="A301" s="13">
        <v>300</v>
      </c>
      <c r="B301" s="3" t="s">
        <v>963</v>
      </c>
      <c r="C301" s="13" t="s">
        <v>964</v>
      </c>
      <c r="D301" s="13" t="s">
        <v>26</v>
      </c>
      <c r="E301" s="13" t="s">
        <v>965</v>
      </c>
      <c r="F301" s="17" t="s">
        <v>966</v>
      </c>
    </row>
    <row r="302" spans="1:6">
      <c r="A302" s="13">
        <v>301</v>
      </c>
      <c r="B302" s="3" t="s">
        <v>967</v>
      </c>
      <c r="C302" s="13" t="s">
        <v>968</v>
      </c>
      <c r="D302" s="13" t="s">
        <v>26</v>
      </c>
      <c r="E302" s="13" t="s">
        <v>969</v>
      </c>
      <c r="F302" s="17" t="s">
        <v>970</v>
      </c>
    </row>
    <row r="303" spans="1:6">
      <c r="A303" s="13">
        <v>302</v>
      </c>
      <c r="B303" s="3" t="s">
        <v>971</v>
      </c>
      <c r="C303" s="13" t="s">
        <v>972</v>
      </c>
      <c r="D303" s="13" t="s">
        <v>26</v>
      </c>
      <c r="E303" s="13" t="s">
        <v>973</v>
      </c>
      <c r="F303" s="17" t="s">
        <v>974</v>
      </c>
    </row>
    <row r="304" spans="1:6">
      <c r="A304" s="13">
        <v>303</v>
      </c>
      <c r="B304" s="3" t="s">
        <v>975</v>
      </c>
      <c r="C304" s="13" t="s">
        <v>976</v>
      </c>
      <c r="D304" s="13" t="s">
        <v>65</v>
      </c>
      <c r="E304" s="13" t="s">
        <v>306</v>
      </c>
      <c r="F304" s="17" t="s">
        <v>497</v>
      </c>
    </row>
    <row r="305" spans="1:6">
      <c r="A305" s="13">
        <v>304</v>
      </c>
      <c r="B305" s="3" t="s">
        <v>977</v>
      </c>
      <c r="C305" s="13" t="s">
        <v>978</v>
      </c>
      <c r="D305" s="13" t="s">
        <v>35</v>
      </c>
      <c r="E305" s="13" t="s">
        <v>331</v>
      </c>
      <c r="F305" s="17" t="s">
        <v>497</v>
      </c>
    </row>
    <row r="306" spans="1:6">
      <c r="A306" s="13">
        <v>305</v>
      </c>
      <c r="B306" s="3" t="s">
        <v>979</v>
      </c>
      <c r="C306" s="13" t="s">
        <v>980</v>
      </c>
      <c r="D306" s="13" t="s">
        <v>35</v>
      </c>
      <c r="E306" s="13" t="s">
        <v>379</v>
      </c>
      <c r="F306" s="17" t="s">
        <v>497</v>
      </c>
    </row>
    <row r="307" spans="1:6">
      <c r="A307" s="13">
        <v>306</v>
      </c>
      <c r="B307" s="3" t="s">
        <v>981</v>
      </c>
      <c r="C307" s="13" t="s">
        <v>982</v>
      </c>
      <c r="D307" s="13" t="s">
        <v>65</v>
      </c>
      <c r="E307" s="13" t="s">
        <v>382</v>
      </c>
      <c r="F307" s="17" t="s">
        <v>497</v>
      </c>
    </row>
    <row r="308" spans="1:6">
      <c r="A308" s="13">
        <v>307</v>
      </c>
      <c r="B308" s="3" t="s">
        <v>983</v>
      </c>
      <c r="C308" s="13" t="s">
        <v>984</v>
      </c>
      <c r="D308" s="13" t="s">
        <v>35</v>
      </c>
      <c r="E308" s="13" t="s">
        <v>472</v>
      </c>
      <c r="F308" s="17" t="s">
        <v>497</v>
      </c>
    </row>
    <row r="309" spans="1:6">
      <c r="A309" s="13">
        <v>308</v>
      </c>
      <c r="B309" s="3" t="s">
        <v>985</v>
      </c>
      <c r="C309" s="13" t="s">
        <v>986</v>
      </c>
      <c r="D309" s="13" t="s">
        <v>35</v>
      </c>
      <c r="E309" s="13" t="s">
        <v>475</v>
      </c>
      <c r="F309" s="17" t="s">
        <v>497</v>
      </c>
    </row>
    <row r="310" spans="1:6">
      <c r="A310" s="13">
        <v>309</v>
      </c>
      <c r="B310" s="3" t="s">
        <v>987</v>
      </c>
      <c r="C310" s="13" t="s">
        <v>988</v>
      </c>
      <c r="D310" s="13" t="s">
        <v>35</v>
      </c>
      <c r="E310" s="13" t="s">
        <v>289</v>
      </c>
      <c r="F310" s="17" t="s">
        <v>286</v>
      </c>
    </row>
    <row r="311" spans="1:6">
      <c r="A311" s="13">
        <v>310</v>
      </c>
      <c r="B311" s="3" t="s">
        <v>989</v>
      </c>
      <c r="C311" s="13" t="s">
        <v>990</v>
      </c>
      <c r="D311" s="13" t="s">
        <v>65</v>
      </c>
      <c r="E311" s="13" t="s">
        <v>285</v>
      </c>
      <c r="F311" s="17" t="s">
        <v>286</v>
      </c>
    </row>
    <row r="312" spans="1:6">
      <c r="A312" s="13">
        <v>311</v>
      </c>
      <c r="B312" s="3" t="s">
        <v>991</v>
      </c>
      <c r="C312" s="13" t="s">
        <v>992</v>
      </c>
      <c r="D312" s="13" t="s">
        <v>65</v>
      </c>
      <c r="E312" s="13" t="s">
        <v>285</v>
      </c>
      <c r="F312" s="17" t="s">
        <v>286</v>
      </c>
    </row>
    <row r="313" spans="1:6">
      <c r="A313" s="13">
        <v>312</v>
      </c>
      <c r="B313" s="3" t="s">
        <v>993</v>
      </c>
      <c r="C313" s="13" t="s">
        <v>994</v>
      </c>
      <c r="D313" s="13" t="s">
        <v>35</v>
      </c>
      <c r="E313" s="13" t="s">
        <v>313</v>
      </c>
      <c r="F313" s="17" t="s">
        <v>286</v>
      </c>
    </row>
    <row r="314" spans="1:6">
      <c r="A314" s="13">
        <v>313</v>
      </c>
      <c r="B314" s="3" t="s">
        <v>995</v>
      </c>
      <c r="C314" s="13" t="s">
        <v>996</v>
      </c>
      <c r="D314" s="13" t="s">
        <v>14</v>
      </c>
      <c r="E314" s="13" t="s">
        <v>385</v>
      </c>
      <c r="F314" s="17" t="s">
        <v>286</v>
      </c>
    </row>
    <row r="315" spans="1:6">
      <c r="A315" s="13">
        <v>314</v>
      </c>
      <c r="B315" s="3" t="s">
        <v>997</v>
      </c>
      <c r="C315" s="13" t="s">
        <v>998</v>
      </c>
      <c r="D315" s="13" t="s">
        <v>35</v>
      </c>
      <c r="E315" s="13" t="s">
        <v>285</v>
      </c>
      <c r="F315" s="17" t="s">
        <v>286</v>
      </c>
    </row>
    <row r="316" spans="1:6">
      <c r="A316" s="13">
        <v>315</v>
      </c>
      <c r="B316" s="3" t="s">
        <v>999</v>
      </c>
      <c r="C316" s="13" t="s">
        <v>1000</v>
      </c>
      <c r="D316" s="13" t="s">
        <v>35</v>
      </c>
      <c r="E316" s="13" t="s">
        <v>292</v>
      </c>
      <c r="F316" s="17" t="s">
        <v>286</v>
      </c>
    </row>
    <row r="317" spans="1:6">
      <c r="A317" s="13">
        <v>316</v>
      </c>
      <c r="B317" s="3" t="s">
        <v>1001</v>
      </c>
      <c r="C317" s="13" t="s">
        <v>1002</v>
      </c>
      <c r="D317" s="13" t="s">
        <v>35</v>
      </c>
      <c r="E317" s="13" t="s">
        <v>285</v>
      </c>
      <c r="F317" s="17" t="s">
        <v>286</v>
      </c>
    </row>
    <row r="318" spans="1:6">
      <c r="A318" s="13">
        <v>317</v>
      </c>
      <c r="B318" s="3" t="s">
        <v>1003</v>
      </c>
      <c r="C318" s="13" t="s">
        <v>1004</v>
      </c>
      <c r="D318" s="13" t="s">
        <v>35</v>
      </c>
      <c r="E318" s="13" t="s">
        <v>306</v>
      </c>
      <c r="F318" s="17" t="s">
        <v>497</v>
      </c>
    </row>
    <row r="319" spans="1:6">
      <c r="A319" s="13">
        <v>318</v>
      </c>
      <c r="B319" s="3" t="s">
        <v>1005</v>
      </c>
      <c r="C319" s="13" t="s">
        <v>1006</v>
      </c>
      <c r="D319" s="13" t="s">
        <v>35</v>
      </c>
      <c r="E319" s="13" t="s">
        <v>331</v>
      </c>
      <c r="F319" s="17" t="s">
        <v>497</v>
      </c>
    </row>
    <row r="320" spans="1:6">
      <c r="A320" s="13">
        <v>319</v>
      </c>
      <c r="B320" s="3" t="s">
        <v>1007</v>
      </c>
      <c r="C320" s="13" t="s">
        <v>1008</v>
      </c>
      <c r="D320" s="13" t="s">
        <v>35</v>
      </c>
      <c r="E320" s="13" t="s">
        <v>379</v>
      </c>
      <c r="F320" s="17" t="s">
        <v>497</v>
      </c>
    </row>
    <row r="321" spans="1:6">
      <c r="A321" s="13">
        <v>320</v>
      </c>
      <c r="B321" s="3" t="s">
        <v>1009</v>
      </c>
      <c r="C321" s="13" t="s">
        <v>1010</v>
      </c>
      <c r="D321" s="13" t="s">
        <v>35</v>
      </c>
      <c r="E321" s="13" t="s">
        <v>382</v>
      </c>
      <c r="F321" s="17" t="s">
        <v>497</v>
      </c>
    </row>
    <row r="322" spans="1:6">
      <c r="A322" s="13">
        <v>321</v>
      </c>
      <c r="B322" s="3" t="s">
        <v>1011</v>
      </c>
      <c r="C322" s="13" t="s">
        <v>1012</v>
      </c>
      <c r="D322" s="13" t="s">
        <v>35</v>
      </c>
      <c r="E322" s="13" t="s">
        <v>306</v>
      </c>
      <c r="F322" s="17" t="s">
        <v>286</v>
      </c>
    </row>
    <row r="323" spans="1:6">
      <c r="A323" s="13">
        <v>322</v>
      </c>
      <c r="B323" s="3" t="s">
        <v>1013</v>
      </c>
      <c r="C323" s="13" t="s">
        <v>1014</v>
      </c>
      <c r="D323" s="13" t="s">
        <v>65</v>
      </c>
      <c r="E323" s="13" t="s">
        <v>289</v>
      </c>
      <c r="F323" s="17" t="s">
        <v>286</v>
      </c>
    </row>
    <row r="324" spans="1:6">
      <c r="A324" s="13">
        <v>323</v>
      </c>
      <c r="B324" s="21" t="s">
        <v>1015</v>
      </c>
      <c r="C324" s="26" t="s">
        <v>1016</v>
      </c>
      <c r="D324" s="13" t="s">
        <v>35</v>
      </c>
      <c r="E324" s="26" t="s">
        <v>289</v>
      </c>
      <c r="F324" s="22" t="s">
        <v>286</v>
      </c>
    </row>
    <row r="325" spans="1:6">
      <c r="A325" s="13">
        <v>324</v>
      </c>
      <c r="B325" s="3" t="s">
        <v>1017</v>
      </c>
      <c r="C325" s="13" t="s">
        <v>1018</v>
      </c>
      <c r="D325" s="13" t="s">
        <v>65</v>
      </c>
      <c r="E325" s="13" t="s">
        <v>306</v>
      </c>
      <c r="F325" s="17" t="s">
        <v>1019</v>
      </c>
    </row>
    <row r="326" spans="1:6">
      <c r="A326" s="13">
        <v>325</v>
      </c>
      <c r="B326" s="3" t="s">
        <v>1020</v>
      </c>
      <c r="C326" s="13" t="s">
        <v>1021</v>
      </c>
      <c r="D326" s="13" t="s">
        <v>26</v>
      </c>
      <c r="E326" s="13" t="s">
        <v>1022</v>
      </c>
      <c r="F326" s="17" t="s">
        <v>1023</v>
      </c>
    </row>
    <row r="327" spans="1:6">
      <c r="A327" s="13">
        <v>326</v>
      </c>
      <c r="B327" s="3" t="s">
        <v>1024</v>
      </c>
      <c r="C327" s="13" t="s">
        <v>1025</v>
      </c>
      <c r="D327" s="13" t="s">
        <v>26</v>
      </c>
      <c r="E327" s="13" t="s">
        <v>965</v>
      </c>
      <c r="F327" s="17" t="s">
        <v>1026</v>
      </c>
    </row>
    <row r="328" spans="1:6">
      <c r="A328" s="13">
        <v>327</v>
      </c>
      <c r="B328" s="3" t="s">
        <v>1027</v>
      </c>
      <c r="C328" s="13" t="s">
        <v>1028</v>
      </c>
      <c r="D328" s="13" t="s">
        <v>26</v>
      </c>
      <c r="E328" s="13" t="s">
        <v>969</v>
      </c>
      <c r="F328" s="17" t="s">
        <v>1029</v>
      </c>
    </row>
    <row r="329" spans="1:6">
      <c r="A329" s="13">
        <v>328</v>
      </c>
      <c r="B329" s="3" t="s">
        <v>1030</v>
      </c>
      <c r="C329" s="13" t="s">
        <v>1031</v>
      </c>
      <c r="D329" s="13" t="s">
        <v>26</v>
      </c>
      <c r="E329" s="13" t="s">
        <v>331</v>
      </c>
      <c r="F329" s="17" t="s">
        <v>1032</v>
      </c>
    </row>
    <row r="330" spans="1:6">
      <c r="A330" s="13">
        <v>329</v>
      </c>
      <c r="B330" s="3" t="s">
        <v>1033</v>
      </c>
      <c r="C330" s="13" t="s">
        <v>1034</v>
      </c>
      <c r="D330" s="13" t="s">
        <v>35</v>
      </c>
      <c r="E330" s="13" t="s">
        <v>379</v>
      </c>
      <c r="F330" s="17" t="s">
        <v>1032</v>
      </c>
    </row>
    <row r="331" spans="1:6">
      <c r="A331" s="13">
        <v>330</v>
      </c>
      <c r="B331" s="3" t="s">
        <v>1035</v>
      </c>
      <c r="C331" s="13" t="s">
        <v>1036</v>
      </c>
      <c r="D331" s="13" t="s">
        <v>26</v>
      </c>
      <c r="E331" s="13" t="s">
        <v>382</v>
      </c>
      <c r="F331" s="17" t="s">
        <v>1032</v>
      </c>
    </row>
    <row r="332" spans="1:6">
      <c r="A332" s="13">
        <v>331</v>
      </c>
      <c r="B332" s="3" t="s">
        <v>1037</v>
      </c>
      <c r="C332" s="13" t="s">
        <v>1038</v>
      </c>
      <c r="D332" s="13" t="s">
        <v>26</v>
      </c>
      <c r="E332" s="13" t="s">
        <v>472</v>
      </c>
      <c r="F332" s="17" t="s">
        <v>286</v>
      </c>
    </row>
    <row r="333" spans="1:6">
      <c r="A333" s="13">
        <v>332</v>
      </c>
      <c r="B333" s="3" t="s">
        <v>1039</v>
      </c>
      <c r="C333" s="13" t="s">
        <v>1040</v>
      </c>
      <c r="D333" s="13" t="s">
        <v>26</v>
      </c>
      <c r="E333" s="13" t="s">
        <v>475</v>
      </c>
      <c r="F333" s="17" t="s">
        <v>1041</v>
      </c>
    </row>
    <row r="334" spans="1:6">
      <c r="A334" s="13">
        <v>333</v>
      </c>
      <c r="B334" s="3" t="s">
        <v>1042</v>
      </c>
      <c r="C334" s="13" t="s">
        <v>1043</v>
      </c>
      <c r="D334" s="13" t="s">
        <v>35</v>
      </c>
      <c r="E334" s="13" t="s">
        <v>478</v>
      </c>
      <c r="F334" s="17" t="s">
        <v>1032</v>
      </c>
    </row>
    <row r="335" spans="1:6">
      <c r="A335" s="13">
        <v>334</v>
      </c>
      <c r="B335" s="3" t="s">
        <v>1044</v>
      </c>
      <c r="C335" s="13" t="s">
        <v>1045</v>
      </c>
      <c r="D335" s="13" t="s">
        <v>65</v>
      </c>
      <c r="E335" s="13" t="s">
        <v>1046</v>
      </c>
      <c r="F335" s="17" t="s">
        <v>1047</v>
      </c>
    </row>
    <row r="336" spans="1:6">
      <c r="A336" s="13">
        <v>335</v>
      </c>
      <c r="B336" s="3" t="s">
        <v>1048</v>
      </c>
      <c r="C336" s="13" t="s">
        <v>1049</v>
      </c>
      <c r="D336" s="13"/>
      <c r="E336" s="13" t="s">
        <v>313</v>
      </c>
      <c r="F336" s="17" t="s">
        <v>286</v>
      </c>
    </row>
    <row r="337" spans="1:6">
      <c r="A337" s="13">
        <v>336</v>
      </c>
      <c r="B337" s="3" t="s">
        <v>1050</v>
      </c>
      <c r="C337" s="13" t="s">
        <v>1051</v>
      </c>
      <c r="D337" s="13"/>
      <c r="E337" s="13" t="s">
        <v>289</v>
      </c>
      <c r="F337" s="17" t="s">
        <v>286</v>
      </c>
    </row>
    <row r="338" spans="1:6">
      <c r="A338" s="13">
        <v>337</v>
      </c>
      <c r="B338" s="3" t="s">
        <v>1052</v>
      </c>
      <c r="C338" s="13" t="s">
        <v>1053</v>
      </c>
      <c r="D338" s="13" t="s">
        <v>35</v>
      </c>
      <c r="E338" s="13" t="s">
        <v>306</v>
      </c>
      <c r="F338" s="17" t="s">
        <v>286</v>
      </c>
    </row>
    <row r="339" spans="1:6">
      <c r="A339" s="13">
        <v>338</v>
      </c>
      <c r="B339" s="3" t="s">
        <v>1054</v>
      </c>
      <c r="C339" s="13" t="s">
        <v>1055</v>
      </c>
      <c r="D339" s="13" t="s">
        <v>35</v>
      </c>
      <c r="E339" s="13" t="s">
        <v>331</v>
      </c>
      <c r="F339" s="17" t="s">
        <v>286</v>
      </c>
    </row>
    <row r="340" spans="1:6">
      <c r="A340" s="13">
        <v>339</v>
      </c>
      <c r="B340" s="3" t="s">
        <v>1056</v>
      </c>
      <c r="C340" s="13" t="s">
        <v>1057</v>
      </c>
      <c r="D340" s="13" t="s">
        <v>35</v>
      </c>
      <c r="E340" s="13" t="s">
        <v>379</v>
      </c>
      <c r="F340" s="17" t="s">
        <v>286</v>
      </c>
    </row>
    <row r="341" spans="1:6">
      <c r="A341" s="13">
        <v>340</v>
      </c>
      <c r="B341" s="3" t="s">
        <v>1058</v>
      </c>
      <c r="C341" s="13" t="s">
        <v>1059</v>
      </c>
      <c r="D341" s="13" t="s">
        <v>35</v>
      </c>
      <c r="E341" s="13" t="s">
        <v>289</v>
      </c>
      <c r="F341" s="17" t="s">
        <v>286</v>
      </c>
    </row>
    <row r="342" spans="1:6">
      <c r="A342" s="13">
        <v>341</v>
      </c>
      <c r="B342" s="3" t="s">
        <v>1060</v>
      </c>
      <c r="C342" s="13" t="s">
        <v>1061</v>
      </c>
      <c r="D342" s="13" t="s">
        <v>35</v>
      </c>
      <c r="E342" s="13" t="s">
        <v>289</v>
      </c>
      <c r="F342" s="17" t="s">
        <v>286</v>
      </c>
    </row>
    <row r="343" spans="1:6">
      <c r="A343" s="13">
        <v>342</v>
      </c>
      <c r="B343" s="3" t="s">
        <v>1062</v>
      </c>
      <c r="C343" s="13" t="s">
        <v>1063</v>
      </c>
      <c r="D343" s="13" t="s">
        <v>35</v>
      </c>
      <c r="E343" s="13" t="s">
        <v>289</v>
      </c>
      <c r="F343" s="17" t="s">
        <v>286</v>
      </c>
    </row>
    <row r="344" spans="1:6">
      <c r="A344" s="13">
        <v>343</v>
      </c>
      <c r="B344" s="3" t="s">
        <v>1064</v>
      </c>
      <c r="C344" s="13" t="s">
        <v>1065</v>
      </c>
      <c r="D344" s="13" t="s">
        <v>35</v>
      </c>
      <c r="E344" s="13" t="s">
        <v>292</v>
      </c>
      <c r="F344" s="17" t="s">
        <v>286</v>
      </c>
    </row>
    <row r="345" spans="1:6">
      <c r="A345" s="13">
        <v>344</v>
      </c>
      <c r="B345" s="3" t="s">
        <v>1066</v>
      </c>
      <c r="C345" s="13" t="s">
        <v>1067</v>
      </c>
      <c r="D345" s="13" t="s">
        <v>35</v>
      </c>
      <c r="E345" s="13" t="s">
        <v>313</v>
      </c>
      <c r="F345" s="17" t="s">
        <v>286</v>
      </c>
    </row>
    <row r="346" spans="1:6">
      <c r="A346" s="13">
        <v>345</v>
      </c>
      <c r="B346" s="3" t="s">
        <v>1068</v>
      </c>
      <c r="C346" s="13" t="s">
        <v>1069</v>
      </c>
      <c r="D346" s="13" t="s">
        <v>35</v>
      </c>
      <c r="E346" s="13" t="s">
        <v>313</v>
      </c>
      <c r="F346" s="17" t="s">
        <v>286</v>
      </c>
    </row>
    <row r="347" spans="1:6">
      <c r="A347" s="13">
        <v>346</v>
      </c>
      <c r="B347" s="3" t="s">
        <v>1070</v>
      </c>
      <c r="C347" s="13" t="s">
        <v>1071</v>
      </c>
      <c r="D347" s="13" t="s">
        <v>35</v>
      </c>
      <c r="E347" s="13" t="s">
        <v>385</v>
      </c>
      <c r="F347" s="17" t="s">
        <v>286</v>
      </c>
    </row>
    <row r="348" spans="1:6">
      <c r="A348" s="13">
        <v>347</v>
      </c>
      <c r="B348" s="3" t="s">
        <v>1072</v>
      </c>
      <c r="C348" s="13" t="s">
        <v>1073</v>
      </c>
      <c r="D348" s="13" t="s">
        <v>35</v>
      </c>
      <c r="E348" s="13" t="s">
        <v>326</v>
      </c>
      <c r="F348" s="17" t="s">
        <v>286</v>
      </c>
    </row>
    <row r="349" spans="1:6">
      <c r="A349" s="13">
        <v>348</v>
      </c>
      <c r="B349" s="3" t="s">
        <v>1074</v>
      </c>
      <c r="C349" s="13" t="s">
        <v>1075</v>
      </c>
      <c r="D349" s="13" t="s">
        <v>35</v>
      </c>
      <c r="E349" s="13" t="s">
        <v>382</v>
      </c>
      <c r="F349" s="17" t="s">
        <v>1076</v>
      </c>
    </row>
    <row r="350" spans="1:6">
      <c r="A350" s="13">
        <v>349</v>
      </c>
      <c r="B350" s="3" t="s">
        <v>1077</v>
      </c>
      <c r="C350" s="13" t="s">
        <v>1078</v>
      </c>
      <c r="D350" s="13" t="s">
        <v>35</v>
      </c>
      <c r="E350" s="13" t="s">
        <v>472</v>
      </c>
      <c r="F350" s="17" t="s">
        <v>1076</v>
      </c>
    </row>
    <row r="351" spans="1:6">
      <c r="A351" s="13">
        <v>350</v>
      </c>
      <c r="B351" s="3" t="s">
        <v>1079</v>
      </c>
      <c r="C351" s="13" t="s">
        <v>1080</v>
      </c>
      <c r="D351" s="13" t="s">
        <v>35</v>
      </c>
      <c r="E351" s="13" t="s">
        <v>306</v>
      </c>
      <c r="F351" s="17" t="s">
        <v>1081</v>
      </c>
    </row>
    <row r="352" spans="1:6">
      <c r="A352" s="13">
        <v>351</v>
      </c>
      <c r="B352" s="3" t="s">
        <v>1082</v>
      </c>
      <c r="C352" s="13" t="s">
        <v>1083</v>
      </c>
      <c r="D352" s="13" t="s">
        <v>35</v>
      </c>
      <c r="E352" s="13" t="s">
        <v>331</v>
      </c>
      <c r="F352" s="17" t="s">
        <v>1081</v>
      </c>
    </row>
    <row r="353" spans="1:6">
      <c r="A353" s="13">
        <v>352</v>
      </c>
      <c r="B353" s="3" t="s">
        <v>1084</v>
      </c>
      <c r="C353" s="13" t="s">
        <v>1085</v>
      </c>
      <c r="D353" s="13" t="s">
        <v>35</v>
      </c>
      <c r="E353" s="13" t="s">
        <v>379</v>
      </c>
      <c r="F353" s="17" t="s">
        <v>1081</v>
      </c>
    </row>
    <row r="354" spans="1:6">
      <c r="A354" s="13">
        <v>353</v>
      </c>
      <c r="B354" s="21" t="s">
        <v>1086</v>
      </c>
      <c r="C354" s="26" t="s">
        <v>1087</v>
      </c>
      <c r="D354" s="13" t="s">
        <v>35</v>
      </c>
      <c r="E354" s="26" t="s">
        <v>382</v>
      </c>
      <c r="F354" s="22" t="s">
        <v>1081</v>
      </c>
    </row>
    <row r="355" spans="1:6">
      <c r="A355" s="13">
        <v>354</v>
      </c>
      <c r="B355" s="3" t="s">
        <v>1088</v>
      </c>
      <c r="C355" s="13" t="s">
        <v>1089</v>
      </c>
      <c r="D355" s="13" t="s">
        <v>65</v>
      </c>
      <c r="E355" s="13" t="s">
        <v>965</v>
      </c>
      <c r="F355" s="17" t="s">
        <v>1090</v>
      </c>
    </row>
    <row r="356" spans="1:6">
      <c r="A356" s="13">
        <v>355</v>
      </c>
      <c r="B356" s="3" t="s">
        <v>1091</v>
      </c>
      <c r="C356" s="13" t="s">
        <v>1092</v>
      </c>
      <c r="D356" s="13" t="s">
        <v>26</v>
      </c>
      <c r="E356" s="13" t="s">
        <v>969</v>
      </c>
      <c r="F356" s="17" t="s">
        <v>1093</v>
      </c>
    </row>
    <row r="357" spans="1:6">
      <c r="A357" s="13">
        <v>356</v>
      </c>
      <c r="B357" s="3" t="s">
        <v>1094</v>
      </c>
      <c r="C357" s="13" t="s">
        <v>1095</v>
      </c>
      <c r="D357" s="13" t="s">
        <v>26</v>
      </c>
      <c r="E357" s="13" t="s">
        <v>973</v>
      </c>
      <c r="F357" s="17" t="s">
        <v>1096</v>
      </c>
    </row>
    <row r="358" spans="1:6">
      <c r="A358" s="13">
        <v>357</v>
      </c>
      <c r="B358" s="3" t="s">
        <v>1097</v>
      </c>
      <c r="C358" s="13" t="s">
        <v>1098</v>
      </c>
      <c r="D358" s="13" t="s">
        <v>26</v>
      </c>
      <c r="E358" s="13" t="s">
        <v>326</v>
      </c>
      <c r="F358" s="17" t="s">
        <v>1099</v>
      </c>
    </row>
    <row r="359" spans="1:6">
      <c r="A359" s="13">
        <v>358</v>
      </c>
      <c r="B359" s="3" t="s">
        <v>1100</v>
      </c>
      <c r="C359" s="13" t="s">
        <v>1101</v>
      </c>
      <c r="D359" s="13" t="s">
        <v>35</v>
      </c>
      <c r="E359" s="13" t="s">
        <v>306</v>
      </c>
      <c r="F359" s="17" t="s">
        <v>497</v>
      </c>
    </row>
    <row r="360" spans="1:6">
      <c r="A360" s="13">
        <v>359</v>
      </c>
      <c r="B360" s="3" t="s">
        <v>1102</v>
      </c>
      <c r="C360" s="13" t="s">
        <v>1103</v>
      </c>
      <c r="D360" s="13"/>
      <c r="E360" s="13" t="s">
        <v>289</v>
      </c>
      <c r="F360" s="17" t="s">
        <v>286</v>
      </c>
    </row>
    <row r="361" spans="1:6">
      <c r="A361" s="13">
        <v>360</v>
      </c>
      <c r="B361" s="3" t="s">
        <v>1104</v>
      </c>
      <c r="C361" s="13" t="s">
        <v>1105</v>
      </c>
      <c r="D361" s="13"/>
      <c r="E361" s="13" t="s">
        <v>289</v>
      </c>
      <c r="F361" s="17" t="s">
        <v>286</v>
      </c>
    </row>
    <row r="362" spans="1:6">
      <c r="A362" s="13">
        <v>361</v>
      </c>
      <c r="B362" s="3" t="s">
        <v>1106</v>
      </c>
      <c r="C362" s="13" t="s">
        <v>1107</v>
      </c>
      <c r="D362" s="13"/>
      <c r="E362" s="13" t="s">
        <v>285</v>
      </c>
      <c r="F362" s="17" t="s">
        <v>286</v>
      </c>
    </row>
    <row r="363" spans="1:6">
      <c r="A363" s="13">
        <v>362</v>
      </c>
      <c r="B363" s="3" t="s">
        <v>1108</v>
      </c>
      <c r="C363" s="13" t="s">
        <v>1109</v>
      </c>
      <c r="D363" s="13" t="s">
        <v>35</v>
      </c>
      <c r="E363" s="13" t="s">
        <v>306</v>
      </c>
      <c r="F363" s="17" t="s">
        <v>1110</v>
      </c>
    </row>
    <row r="364" spans="1:6">
      <c r="A364" s="13">
        <v>363</v>
      </c>
      <c r="B364" s="3" t="s">
        <v>1111</v>
      </c>
      <c r="C364" s="13" t="s">
        <v>1112</v>
      </c>
      <c r="D364" s="13" t="s">
        <v>35</v>
      </c>
      <c r="E364" s="13" t="s">
        <v>331</v>
      </c>
      <c r="F364" s="17" t="s">
        <v>497</v>
      </c>
    </row>
    <row r="365" spans="1:6">
      <c r="A365" s="13">
        <v>364</v>
      </c>
      <c r="B365" s="3" t="s">
        <v>1113</v>
      </c>
      <c r="C365" s="13" t="s">
        <v>1114</v>
      </c>
      <c r="D365" s="13" t="s">
        <v>35</v>
      </c>
      <c r="E365" s="13" t="s">
        <v>379</v>
      </c>
      <c r="F365" s="17" t="s">
        <v>497</v>
      </c>
    </row>
    <row r="366" spans="1:6">
      <c r="A366" s="13">
        <v>365</v>
      </c>
      <c r="B366" s="3" t="s">
        <v>1115</v>
      </c>
      <c r="C366" s="13" t="s">
        <v>1116</v>
      </c>
      <c r="D366" s="13" t="s">
        <v>35</v>
      </c>
      <c r="E366" s="13" t="s">
        <v>289</v>
      </c>
      <c r="F366" s="17" t="s">
        <v>286</v>
      </c>
    </row>
    <row r="367" spans="1:6">
      <c r="A367" s="13">
        <v>366</v>
      </c>
      <c r="B367" s="3" t="s">
        <v>1117</v>
      </c>
      <c r="C367" s="13" t="s">
        <v>1118</v>
      </c>
      <c r="D367" s="13" t="s">
        <v>35</v>
      </c>
      <c r="E367" s="13" t="s">
        <v>289</v>
      </c>
      <c r="F367" s="17" t="s">
        <v>286</v>
      </c>
    </row>
    <row r="368" spans="1:6">
      <c r="A368" s="13">
        <v>367</v>
      </c>
      <c r="B368" s="3" t="s">
        <v>1119</v>
      </c>
      <c r="C368" s="13" t="s">
        <v>1120</v>
      </c>
      <c r="D368" s="13" t="s">
        <v>35</v>
      </c>
      <c r="E368" s="13" t="s">
        <v>289</v>
      </c>
      <c r="F368" s="17" t="s">
        <v>286</v>
      </c>
    </row>
    <row r="369" spans="1:6">
      <c r="A369" s="13">
        <v>368</v>
      </c>
      <c r="B369" s="3" t="s">
        <v>1121</v>
      </c>
      <c r="C369" s="13" t="s">
        <v>1122</v>
      </c>
      <c r="D369" s="13" t="s">
        <v>35</v>
      </c>
      <c r="E369" s="13" t="s">
        <v>313</v>
      </c>
      <c r="F369" s="17" t="s">
        <v>286</v>
      </c>
    </row>
    <row r="370" spans="1:6">
      <c r="A370" s="13">
        <v>369</v>
      </c>
      <c r="B370" s="3" t="s">
        <v>1123</v>
      </c>
      <c r="C370" s="13" t="s">
        <v>1124</v>
      </c>
      <c r="D370" s="13" t="s">
        <v>35</v>
      </c>
      <c r="E370" s="13" t="s">
        <v>326</v>
      </c>
      <c r="F370" s="17" t="s">
        <v>286</v>
      </c>
    </row>
    <row r="371" spans="1:6">
      <c r="A371" s="13">
        <v>370</v>
      </c>
      <c r="B371" s="3" t="s">
        <v>1125</v>
      </c>
      <c r="C371" s="13" t="s">
        <v>1126</v>
      </c>
      <c r="D371" s="13" t="s">
        <v>35</v>
      </c>
      <c r="E371" s="13" t="s">
        <v>289</v>
      </c>
      <c r="F371" s="17" t="s">
        <v>286</v>
      </c>
    </row>
    <row r="372" spans="1:6">
      <c r="A372" s="13">
        <v>371</v>
      </c>
      <c r="B372" s="3" t="s">
        <v>1127</v>
      </c>
      <c r="C372" s="13" t="s">
        <v>1128</v>
      </c>
      <c r="D372" s="13" t="s">
        <v>35</v>
      </c>
      <c r="E372" s="13" t="s">
        <v>289</v>
      </c>
      <c r="F372" s="17" t="s">
        <v>286</v>
      </c>
    </row>
    <row r="373" spans="1:6">
      <c r="A373" s="13">
        <v>372</v>
      </c>
      <c r="B373" s="3" t="s">
        <v>1129</v>
      </c>
      <c r="C373" s="13" t="s">
        <v>1130</v>
      </c>
      <c r="D373" s="13" t="s">
        <v>35</v>
      </c>
      <c r="E373" s="13" t="s">
        <v>306</v>
      </c>
      <c r="F373" s="17" t="s">
        <v>1131</v>
      </c>
    </row>
    <row r="374" spans="1:6">
      <c r="A374" s="13">
        <v>373</v>
      </c>
      <c r="B374" s="21" t="s">
        <v>1132</v>
      </c>
      <c r="C374" s="26" t="s">
        <v>1133</v>
      </c>
      <c r="D374" s="26"/>
      <c r="E374" s="26" t="s">
        <v>306</v>
      </c>
      <c r="F374" s="22" t="s">
        <v>1134</v>
      </c>
    </row>
    <row r="375" spans="1:6">
      <c r="A375" s="13">
        <v>374</v>
      </c>
      <c r="B375" s="3" t="s">
        <v>1135</v>
      </c>
      <c r="C375" s="13" t="s">
        <v>1136</v>
      </c>
      <c r="D375" s="13" t="s">
        <v>26</v>
      </c>
      <c r="E375" s="13" t="s">
        <v>1137</v>
      </c>
      <c r="F375" s="17" t="s">
        <v>1138</v>
      </c>
    </row>
    <row r="376" spans="1:6">
      <c r="A376" s="13">
        <v>375</v>
      </c>
      <c r="B376" s="3" t="s">
        <v>1139</v>
      </c>
      <c r="C376" s="13" t="s">
        <v>1140</v>
      </c>
      <c r="D376" s="13" t="s">
        <v>26</v>
      </c>
      <c r="E376" s="13" t="s">
        <v>326</v>
      </c>
      <c r="F376" s="17" t="s">
        <v>1141</v>
      </c>
    </row>
    <row r="377" spans="1:6">
      <c r="A377" s="13">
        <v>376</v>
      </c>
      <c r="B377" s="3" t="s">
        <v>1142</v>
      </c>
      <c r="C377" s="13" t="s">
        <v>1143</v>
      </c>
      <c r="D377" s="13" t="s">
        <v>35</v>
      </c>
      <c r="E377" s="13" t="s">
        <v>306</v>
      </c>
      <c r="F377" s="17" t="s">
        <v>286</v>
      </c>
    </row>
    <row r="378" spans="1:6">
      <c r="A378" s="13">
        <v>377</v>
      </c>
      <c r="B378" s="3" t="s">
        <v>1144</v>
      </c>
      <c r="C378" s="13" t="s">
        <v>1145</v>
      </c>
      <c r="D378" s="13" t="s">
        <v>35</v>
      </c>
      <c r="E378" s="13" t="s">
        <v>331</v>
      </c>
      <c r="F378" s="25" t="s">
        <v>1146</v>
      </c>
    </row>
    <row r="379" spans="1:6">
      <c r="A379" s="13">
        <v>378</v>
      </c>
      <c r="B379" s="3" t="s">
        <v>1147</v>
      </c>
      <c r="C379" s="13" t="s">
        <v>1148</v>
      </c>
      <c r="D379" s="13" t="s">
        <v>35</v>
      </c>
      <c r="E379" s="13" t="s">
        <v>1149</v>
      </c>
      <c r="F379" s="17" t="s">
        <v>286</v>
      </c>
    </row>
    <row r="380" spans="1:6">
      <c r="A380" s="13">
        <v>379</v>
      </c>
      <c r="B380" s="3" t="s">
        <v>1150</v>
      </c>
      <c r="C380" s="13" t="s">
        <v>1151</v>
      </c>
      <c r="D380" s="13" t="s">
        <v>35</v>
      </c>
      <c r="E380" s="13" t="s">
        <v>285</v>
      </c>
      <c r="F380" s="17" t="s">
        <v>286</v>
      </c>
    </row>
    <row r="381" spans="1:6">
      <c r="A381" s="13">
        <v>380</v>
      </c>
      <c r="B381" s="3" t="s">
        <v>1152</v>
      </c>
      <c r="C381" s="13" t="s">
        <v>1153</v>
      </c>
      <c r="D381" s="13" t="s">
        <v>35</v>
      </c>
      <c r="E381" s="13" t="s">
        <v>379</v>
      </c>
      <c r="F381" s="17" t="s">
        <v>497</v>
      </c>
    </row>
    <row r="382" spans="1:6">
      <c r="A382" s="13">
        <v>381</v>
      </c>
      <c r="B382" s="3" t="s">
        <v>1154</v>
      </c>
      <c r="C382" s="13" t="s">
        <v>1155</v>
      </c>
      <c r="D382" s="13" t="s">
        <v>35</v>
      </c>
      <c r="E382" s="13" t="s">
        <v>382</v>
      </c>
      <c r="F382" s="17" t="s">
        <v>497</v>
      </c>
    </row>
    <row r="383" spans="1:6">
      <c r="A383" s="13">
        <v>382</v>
      </c>
      <c r="B383" s="3" t="s">
        <v>1156</v>
      </c>
      <c r="C383" s="13" t="s">
        <v>1157</v>
      </c>
      <c r="D383" s="13" t="s">
        <v>35</v>
      </c>
      <c r="E383" s="13" t="s">
        <v>472</v>
      </c>
      <c r="F383" s="17" t="s">
        <v>497</v>
      </c>
    </row>
    <row r="384" spans="1:6">
      <c r="A384" s="13">
        <v>383</v>
      </c>
      <c r="B384" s="3" t="s">
        <v>1158</v>
      </c>
      <c r="C384" s="13" t="s">
        <v>1159</v>
      </c>
      <c r="D384" s="13" t="s">
        <v>65</v>
      </c>
      <c r="E384" s="13" t="s">
        <v>289</v>
      </c>
      <c r="F384" s="17" t="s">
        <v>286</v>
      </c>
    </row>
    <row r="385" spans="1:6">
      <c r="A385" s="13">
        <v>384</v>
      </c>
      <c r="B385" s="3" t="s">
        <v>1160</v>
      </c>
      <c r="C385" s="13" t="s">
        <v>1161</v>
      </c>
      <c r="D385" s="13" t="s">
        <v>26</v>
      </c>
      <c r="E385" s="13" t="s">
        <v>285</v>
      </c>
      <c r="F385" s="17" t="s">
        <v>286</v>
      </c>
    </row>
    <row r="386" spans="1:6">
      <c r="A386" s="13">
        <v>385</v>
      </c>
      <c r="B386" s="3" t="s">
        <v>1162</v>
      </c>
      <c r="C386" s="13" t="s">
        <v>1163</v>
      </c>
      <c r="D386" s="13" t="s">
        <v>35</v>
      </c>
      <c r="E386" s="13" t="s">
        <v>306</v>
      </c>
      <c r="F386" s="17" t="s">
        <v>497</v>
      </c>
    </row>
    <row r="387" spans="1:6">
      <c r="A387" s="13">
        <v>386</v>
      </c>
      <c r="B387" s="3" t="s">
        <v>1164</v>
      </c>
      <c r="C387" s="13" t="s">
        <v>1165</v>
      </c>
      <c r="D387" s="13" t="s">
        <v>919</v>
      </c>
      <c r="E387" s="13" t="s">
        <v>285</v>
      </c>
      <c r="F387" s="17" t="s">
        <v>286</v>
      </c>
    </row>
    <row r="388" spans="1:6">
      <c r="A388" s="13">
        <v>387</v>
      </c>
      <c r="B388" s="3" t="s">
        <v>1166</v>
      </c>
      <c r="C388" s="13" t="s">
        <v>1167</v>
      </c>
      <c r="D388" s="13" t="s">
        <v>919</v>
      </c>
      <c r="E388" s="13" t="s">
        <v>285</v>
      </c>
      <c r="F388" s="17" t="s">
        <v>286</v>
      </c>
    </row>
    <row r="389" spans="1:6">
      <c r="A389" s="13">
        <v>388</v>
      </c>
      <c r="B389" s="3" t="s">
        <v>1168</v>
      </c>
      <c r="C389" s="13" t="s">
        <v>1169</v>
      </c>
      <c r="D389" s="13" t="s">
        <v>919</v>
      </c>
      <c r="E389" s="13" t="s">
        <v>313</v>
      </c>
      <c r="F389" s="17" t="s">
        <v>286</v>
      </c>
    </row>
    <row r="390" spans="1:6">
      <c r="A390" s="13">
        <v>389</v>
      </c>
      <c r="B390" s="3" t="s">
        <v>1170</v>
      </c>
      <c r="C390" s="13" t="s">
        <v>1171</v>
      </c>
      <c r="D390" s="13" t="s">
        <v>919</v>
      </c>
      <c r="E390" s="13" t="s">
        <v>326</v>
      </c>
      <c r="F390" s="17" t="s">
        <v>286</v>
      </c>
    </row>
    <row r="391" spans="1:6">
      <c r="A391" s="13">
        <v>390</v>
      </c>
      <c r="B391" s="3" t="s">
        <v>1172</v>
      </c>
      <c r="C391" s="13" t="s">
        <v>1173</v>
      </c>
      <c r="D391" s="13" t="s">
        <v>919</v>
      </c>
      <c r="E391" s="13" t="s">
        <v>326</v>
      </c>
      <c r="F391" s="17" t="s">
        <v>286</v>
      </c>
    </row>
    <row r="392" spans="1:6">
      <c r="A392" s="13">
        <v>391</v>
      </c>
      <c r="B392" s="3" t="s">
        <v>1174</v>
      </c>
      <c r="C392" s="13" t="s">
        <v>1175</v>
      </c>
      <c r="D392" s="13" t="s">
        <v>919</v>
      </c>
      <c r="E392" s="13" t="s">
        <v>326</v>
      </c>
      <c r="F392" s="17" t="s">
        <v>286</v>
      </c>
    </row>
    <row r="393" spans="1:6">
      <c r="A393" s="13">
        <v>392</v>
      </c>
      <c r="B393" s="3" t="s">
        <v>1176</v>
      </c>
      <c r="C393" s="13" t="s">
        <v>291</v>
      </c>
      <c r="D393" s="13" t="s">
        <v>919</v>
      </c>
      <c r="E393" s="13" t="s">
        <v>326</v>
      </c>
      <c r="F393" s="17" t="s">
        <v>286</v>
      </c>
    </row>
    <row r="394" spans="1:6">
      <c r="A394" s="13">
        <v>393</v>
      </c>
      <c r="B394" s="3" t="s">
        <v>1177</v>
      </c>
      <c r="C394" s="13" t="s">
        <v>1178</v>
      </c>
      <c r="D394" s="13" t="s">
        <v>35</v>
      </c>
      <c r="E394" s="13" t="s">
        <v>326</v>
      </c>
      <c r="F394" s="17" t="s">
        <v>1179</v>
      </c>
    </row>
    <row r="395" spans="1:6">
      <c r="A395" s="13">
        <v>394</v>
      </c>
      <c r="B395" s="3" t="s">
        <v>1180</v>
      </c>
      <c r="C395" s="13" t="s">
        <v>1181</v>
      </c>
      <c r="D395" s="13" t="s">
        <v>35</v>
      </c>
      <c r="E395" s="13" t="s">
        <v>326</v>
      </c>
      <c r="F395" s="17" t="s">
        <v>1179</v>
      </c>
    </row>
    <row r="396" spans="1:6">
      <c r="A396" s="13">
        <v>395</v>
      </c>
      <c r="B396" s="3" t="s">
        <v>1182</v>
      </c>
      <c r="C396" s="13" t="s">
        <v>1183</v>
      </c>
      <c r="D396" s="13" t="s">
        <v>35</v>
      </c>
      <c r="E396" s="13" t="s">
        <v>306</v>
      </c>
      <c r="F396" s="17" t="s">
        <v>1184</v>
      </c>
    </row>
    <row r="397" spans="1:6">
      <c r="A397" s="13">
        <v>396</v>
      </c>
      <c r="B397" s="3" t="s">
        <v>1185</v>
      </c>
      <c r="C397" s="13" t="s">
        <v>1186</v>
      </c>
      <c r="D397" s="13" t="s">
        <v>35</v>
      </c>
      <c r="E397" s="13" t="s">
        <v>289</v>
      </c>
      <c r="F397" s="17" t="s">
        <v>286</v>
      </c>
    </row>
    <row r="398" spans="1:6">
      <c r="A398" s="13">
        <v>397</v>
      </c>
      <c r="B398" s="3" t="s">
        <v>1187</v>
      </c>
      <c r="C398" s="13" t="s">
        <v>1188</v>
      </c>
      <c r="D398" s="13" t="s">
        <v>26</v>
      </c>
      <c r="E398" s="13" t="s">
        <v>306</v>
      </c>
      <c r="F398" s="17" t="s">
        <v>1189</v>
      </c>
    </row>
    <row r="399" spans="1:6">
      <c r="A399" s="13">
        <v>398</v>
      </c>
      <c r="B399" s="3" t="s">
        <v>1190</v>
      </c>
      <c r="C399" s="13" t="s">
        <v>1191</v>
      </c>
      <c r="D399" s="13" t="s">
        <v>35</v>
      </c>
      <c r="E399" s="13" t="s">
        <v>965</v>
      </c>
      <c r="F399" s="17" t="s">
        <v>1192</v>
      </c>
    </row>
    <row r="400" spans="1:6">
      <c r="A400" s="13">
        <v>399</v>
      </c>
      <c r="B400" s="3" t="s">
        <v>1193</v>
      </c>
      <c r="C400" s="13" t="s">
        <v>1194</v>
      </c>
      <c r="D400" s="13" t="s">
        <v>35</v>
      </c>
      <c r="E400" s="13" t="s">
        <v>969</v>
      </c>
      <c r="F400" s="17" t="s">
        <v>1195</v>
      </c>
    </row>
    <row r="401" spans="1:6">
      <c r="A401" s="13">
        <v>400</v>
      </c>
      <c r="B401" s="3" t="s">
        <v>1196</v>
      </c>
      <c r="C401" s="13" t="s">
        <v>1197</v>
      </c>
      <c r="D401" s="13" t="s">
        <v>35</v>
      </c>
      <c r="E401" s="13" t="s">
        <v>973</v>
      </c>
      <c r="F401" s="17" t="s">
        <v>1195</v>
      </c>
    </row>
    <row r="402" spans="1:6">
      <c r="A402" s="13">
        <v>401</v>
      </c>
      <c r="B402" s="3" t="s">
        <v>1198</v>
      </c>
      <c r="C402" s="13" t="s">
        <v>1199</v>
      </c>
      <c r="D402" s="13" t="s">
        <v>35</v>
      </c>
      <c r="E402" s="26" t="s">
        <v>1200</v>
      </c>
      <c r="F402" s="22" t="s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4F0A-0745-994D-A261-4FDF4F6B0346}">
  <dimension ref="A1:I1192"/>
  <sheetViews>
    <sheetView topLeftCell="A947" zoomScale="120" zoomScaleNormal="120" workbookViewId="0">
      <selection activeCell="E966" sqref="E966"/>
    </sheetView>
  </sheetViews>
  <sheetFormatPr defaultColWidth="11" defaultRowHeight="15.95"/>
  <cols>
    <col min="1" max="1" width="5.125" bestFit="1" customWidth="1"/>
    <col min="2" max="2" width="51" bestFit="1" customWidth="1"/>
    <col min="3" max="3" width="13.875" bestFit="1" customWidth="1"/>
    <col min="4" max="4" width="14.5" bestFit="1" customWidth="1"/>
    <col min="5" max="5" width="21.875" bestFit="1" customWidth="1"/>
    <col min="6" max="6" width="13.125" style="10" bestFit="1" customWidth="1"/>
    <col min="7" max="7" width="21" style="10" customWidth="1"/>
    <col min="8" max="8" width="54.75" bestFit="1" customWidth="1"/>
  </cols>
  <sheetData>
    <row r="1" spans="1:9" s="8" customFormat="1">
      <c r="A1" s="7"/>
      <c r="B1" s="2" t="s">
        <v>0</v>
      </c>
      <c r="C1" s="2" t="s">
        <v>1201</v>
      </c>
      <c r="D1" s="8" t="s">
        <v>1202</v>
      </c>
      <c r="E1" s="8" t="s">
        <v>1203</v>
      </c>
      <c r="F1" s="11" t="s">
        <v>2</v>
      </c>
      <c r="G1" s="38" t="s">
        <v>278</v>
      </c>
      <c r="H1" s="9" t="s">
        <v>1204</v>
      </c>
      <c r="I1" s="7"/>
    </row>
    <row r="2" spans="1:9" ht="15.75">
      <c r="A2" s="1">
        <v>1</v>
      </c>
      <c r="B2" s="3" t="s">
        <v>1205</v>
      </c>
      <c r="C2" s="1" t="s">
        <v>1206</v>
      </c>
      <c r="D2" t="str">
        <f>RIGHT(B2,10)</f>
        <v>elytra-147</v>
      </c>
      <c r="E2" t="str">
        <f t="shared" ref="E2:E65" si="0">C2&amp;D2</f>
        <v>ROD-SF-elytra-147</v>
      </c>
      <c r="F2" s="10" t="s">
        <v>26</v>
      </c>
      <c r="G2" s="39" t="s">
        <v>1207</v>
      </c>
      <c r="H2" s="4" t="s">
        <v>1208</v>
      </c>
      <c r="I2" s="6" t="s">
        <v>1209</v>
      </c>
    </row>
    <row r="3" spans="1:9" ht="15.75">
      <c r="A3" s="1">
        <v>2</v>
      </c>
      <c r="B3" s="3" t="s">
        <v>1210</v>
      </c>
      <c r="C3" s="1" t="s">
        <v>1206</v>
      </c>
      <c r="D3" t="str">
        <f t="shared" ref="D3:D66" si="1">RIGHT(B3,10)</f>
        <v>elytra-148</v>
      </c>
      <c r="E3" t="str">
        <f t="shared" si="0"/>
        <v>ROD-SF-elytra-148</v>
      </c>
      <c r="F3" s="10" t="s">
        <v>26</v>
      </c>
      <c r="G3" s="39" t="s">
        <v>1207</v>
      </c>
      <c r="H3" s="4"/>
      <c r="I3" s="6"/>
    </row>
    <row r="4" spans="1:9" ht="15.75">
      <c r="A4" s="1">
        <v>3</v>
      </c>
      <c r="B4" s="3" t="s">
        <v>1211</v>
      </c>
      <c r="C4" s="1" t="s">
        <v>1206</v>
      </c>
      <c r="D4" t="str">
        <f t="shared" si="1"/>
        <v>elytra-149</v>
      </c>
      <c r="E4" t="str">
        <f t="shared" si="0"/>
        <v>ROD-SF-elytra-149</v>
      </c>
      <c r="F4" s="10" t="s">
        <v>26</v>
      </c>
      <c r="G4" s="39" t="s">
        <v>1207</v>
      </c>
      <c r="H4" s="5" t="s">
        <v>1212</v>
      </c>
      <c r="I4" s="3" t="s">
        <v>1213</v>
      </c>
    </row>
    <row r="5" spans="1:9" ht="15.75">
      <c r="A5" s="1">
        <v>4</v>
      </c>
      <c r="B5" s="3" t="s">
        <v>1214</v>
      </c>
      <c r="C5" s="1" t="s">
        <v>1206</v>
      </c>
      <c r="D5" t="str">
        <f t="shared" si="1"/>
        <v>elytra-150</v>
      </c>
      <c r="E5" t="str">
        <f t="shared" si="0"/>
        <v>ROD-SF-elytra-150</v>
      </c>
      <c r="F5" s="10" t="s">
        <v>26</v>
      </c>
      <c r="G5" s="39" t="s">
        <v>1207</v>
      </c>
      <c r="H5" s="5" t="s">
        <v>1215</v>
      </c>
      <c r="I5" s="3" t="s">
        <v>1216</v>
      </c>
    </row>
    <row r="6" spans="1:9" ht="15.75">
      <c r="A6" s="1">
        <v>5</v>
      </c>
      <c r="B6" s="3" t="s">
        <v>1217</v>
      </c>
      <c r="C6" s="1" t="s">
        <v>1206</v>
      </c>
      <c r="D6" t="str">
        <f t="shared" si="1"/>
        <v>elytra-151</v>
      </c>
      <c r="E6" t="str">
        <f t="shared" si="0"/>
        <v>ROD-SF-elytra-151</v>
      </c>
      <c r="F6" s="10" t="s">
        <v>26</v>
      </c>
      <c r="G6" s="39" t="s">
        <v>965</v>
      </c>
      <c r="H6" s="5" t="s">
        <v>1218</v>
      </c>
      <c r="I6" t="s">
        <v>1219</v>
      </c>
    </row>
    <row r="7" spans="1:9" ht="15.75">
      <c r="A7" s="1">
        <v>6</v>
      </c>
      <c r="B7" s="3" t="s">
        <v>1220</v>
      </c>
      <c r="C7" s="1" t="s">
        <v>1206</v>
      </c>
      <c r="D7" t="str">
        <f t="shared" si="1"/>
        <v>elytra-152</v>
      </c>
      <c r="E7" t="str">
        <f t="shared" si="0"/>
        <v>ROD-SF-elytra-152</v>
      </c>
      <c r="F7" s="10" t="s">
        <v>26</v>
      </c>
      <c r="G7" s="39" t="s">
        <v>965</v>
      </c>
      <c r="H7" s="5" t="s">
        <v>1221</v>
      </c>
      <c r="I7" t="s">
        <v>1222</v>
      </c>
    </row>
    <row r="8" spans="1:9" ht="15.75">
      <c r="A8" s="1">
        <v>7</v>
      </c>
      <c r="B8" s="3" t="s">
        <v>1223</v>
      </c>
      <c r="C8" s="1" t="s">
        <v>1206</v>
      </c>
      <c r="D8" t="str">
        <f t="shared" si="1"/>
        <v>elytra-153</v>
      </c>
      <c r="E8" t="str">
        <f t="shared" si="0"/>
        <v>ROD-SF-elytra-153</v>
      </c>
      <c r="F8" s="10" t="s">
        <v>26</v>
      </c>
      <c r="G8" s="39" t="s">
        <v>965</v>
      </c>
      <c r="H8" s="5" t="s">
        <v>1224</v>
      </c>
      <c r="I8" t="s">
        <v>1225</v>
      </c>
    </row>
    <row r="9" spans="1:9" ht="15.75">
      <c r="A9" s="1">
        <v>8</v>
      </c>
      <c r="B9" s="3" t="s">
        <v>1226</v>
      </c>
      <c r="C9" s="1" t="s">
        <v>1206</v>
      </c>
      <c r="D9" t="str">
        <f t="shared" si="1"/>
        <v>elytra-154</v>
      </c>
      <c r="E9" t="str">
        <f t="shared" si="0"/>
        <v>ROD-SF-elytra-154</v>
      </c>
      <c r="F9" s="10" t="s">
        <v>26</v>
      </c>
      <c r="G9" s="39" t="s">
        <v>965</v>
      </c>
      <c r="H9" s="5" t="s">
        <v>1227</v>
      </c>
      <c r="I9" t="s">
        <v>1228</v>
      </c>
    </row>
    <row r="10" spans="1:9" ht="15.75">
      <c r="A10" s="1">
        <v>9</v>
      </c>
      <c r="B10" s="3" t="s">
        <v>1229</v>
      </c>
      <c r="C10" s="1" t="s">
        <v>1206</v>
      </c>
      <c r="D10" t="str">
        <f t="shared" si="1"/>
        <v>elytra-155</v>
      </c>
      <c r="E10" t="str">
        <f t="shared" si="0"/>
        <v>ROD-SF-elytra-155</v>
      </c>
      <c r="F10" s="10" t="s">
        <v>26</v>
      </c>
      <c r="G10" s="39" t="s">
        <v>965</v>
      </c>
      <c r="H10" s="5" t="s">
        <v>1230</v>
      </c>
      <c r="I10" s="3" t="s">
        <v>1231</v>
      </c>
    </row>
    <row r="11" spans="1:9" ht="15.75">
      <c r="A11" s="1">
        <v>10</v>
      </c>
      <c r="B11" s="3" t="s">
        <v>1232</v>
      </c>
      <c r="C11" s="1" t="s">
        <v>1206</v>
      </c>
      <c r="D11" t="str">
        <f t="shared" si="1"/>
        <v>elytra-156</v>
      </c>
      <c r="E11" t="str">
        <f t="shared" si="0"/>
        <v>ROD-SF-elytra-156</v>
      </c>
      <c r="F11" s="10" t="s">
        <v>26</v>
      </c>
      <c r="G11" s="39" t="s">
        <v>965</v>
      </c>
      <c r="H11" s="5" t="s">
        <v>1233</v>
      </c>
      <c r="I11" s="3" t="s">
        <v>1234</v>
      </c>
    </row>
    <row r="12" spans="1:9" ht="15.75">
      <c r="A12" s="1">
        <v>11</v>
      </c>
      <c r="B12" s="3" t="s">
        <v>1235</v>
      </c>
      <c r="C12" s="1" t="s">
        <v>1206</v>
      </c>
      <c r="D12" t="str">
        <f t="shared" si="1"/>
        <v>elytra-157</v>
      </c>
      <c r="E12" t="str">
        <f t="shared" si="0"/>
        <v>ROD-SF-elytra-157</v>
      </c>
      <c r="F12" s="10" t="s">
        <v>26</v>
      </c>
      <c r="G12" s="39" t="s">
        <v>965</v>
      </c>
      <c r="H12" s="5" t="s">
        <v>1236</v>
      </c>
      <c r="I12" s="3" t="s">
        <v>1237</v>
      </c>
    </row>
    <row r="13" spans="1:9" ht="15.75">
      <c r="A13" s="1">
        <v>12</v>
      </c>
      <c r="B13" s="3" t="s">
        <v>1238</v>
      </c>
      <c r="C13" s="1" t="s">
        <v>1206</v>
      </c>
      <c r="D13" t="str">
        <f t="shared" si="1"/>
        <v>elytra-158</v>
      </c>
      <c r="E13" t="str">
        <f t="shared" si="0"/>
        <v>ROD-SF-elytra-158</v>
      </c>
      <c r="F13" s="10" t="s">
        <v>26</v>
      </c>
      <c r="G13" s="39" t="s">
        <v>965</v>
      </c>
      <c r="H13" s="5" t="s">
        <v>1239</v>
      </c>
      <c r="I13" s="3" t="s">
        <v>1240</v>
      </c>
    </row>
    <row r="14" spans="1:9" ht="15.75">
      <c r="A14" s="1">
        <v>13</v>
      </c>
      <c r="B14" s="3" t="s">
        <v>1241</v>
      </c>
      <c r="C14" s="1" t="s">
        <v>1206</v>
      </c>
      <c r="D14" t="str">
        <f t="shared" si="1"/>
        <v>elytra-159</v>
      </c>
      <c r="E14" t="str">
        <f t="shared" si="0"/>
        <v>ROD-SF-elytra-159</v>
      </c>
      <c r="F14" s="10" t="s">
        <v>26</v>
      </c>
      <c r="G14" s="39" t="s">
        <v>965</v>
      </c>
      <c r="H14" s="5" t="s">
        <v>1242</v>
      </c>
      <c r="I14" s="3" t="s">
        <v>1243</v>
      </c>
    </row>
    <row r="15" spans="1:9" ht="15.75">
      <c r="A15" s="1">
        <v>14</v>
      </c>
      <c r="B15" s="3" t="s">
        <v>1244</v>
      </c>
      <c r="C15" s="1" t="s">
        <v>1206</v>
      </c>
      <c r="D15" t="str">
        <f t="shared" si="1"/>
        <v>elytra-160</v>
      </c>
      <c r="E15" t="str">
        <f t="shared" si="0"/>
        <v>ROD-SF-elytra-160</v>
      </c>
      <c r="F15" s="10" t="s">
        <v>9</v>
      </c>
      <c r="G15" s="39" t="s">
        <v>965</v>
      </c>
      <c r="H15" s="5" t="s">
        <v>1245</v>
      </c>
      <c r="I15" s="3" t="s">
        <v>1246</v>
      </c>
    </row>
    <row r="16" spans="1:9" ht="15.75">
      <c r="A16" s="1">
        <v>15</v>
      </c>
      <c r="B16" s="3" t="s">
        <v>1247</v>
      </c>
      <c r="C16" s="1" t="s">
        <v>1206</v>
      </c>
      <c r="D16" t="str">
        <f t="shared" si="1"/>
        <v>elytra-161</v>
      </c>
      <c r="E16" t="str">
        <f t="shared" si="0"/>
        <v>ROD-SF-elytra-161</v>
      </c>
      <c r="F16" s="10" t="s">
        <v>6</v>
      </c>
      <c r="G16" s="39" t="s">
        <v>965</v>
      </c>
      <c r="H16" s="5" t="s">
        <v>1248</v>
      </c>
      <c r="I16" s="3" t="s">
        <v>1249</v>
      </c>
    </row>
    <row r="17" spans="1:9" ht="15.75">
      <c r="A17" s="1">
        <v>16</v>
      </c>
      <c r="B17" s="3" t="s">
        <v>1250</v>
      </c>
      <c r="C17" s="1" t="s">
        <v>1206</v>
      </c>
      <c r="D17" t="str">
        <f t="shared" si="1"/>
        <v>elytra-162</v>
      </c>
      <c r="E17" t="str">
        <f t="shared" si="0"/>
        <v>ROD-SF-elytra-162</v>
      </c>
      <c r="F17" s="10" t="s">
        <v>26</v>
      </c>
      <c r="G17" s="39" t="s">
        <v>965</v>
      </c>
      <c r="H17" s="5" t="s">
        <v>1251</v>
      </c>
      <c r="I17" s="3" t="s">
        <v>1252</v>
      </c>
    </row>
    <row r="18" spans="1:9" ht="15.75">
      <c r="A18" s="1">
        <v>17</v>
      </c>
      <c r="B18" s="3" t="s">
        <v>1253</v>
      </c>
      <c r="C18" s="1" t="s">
        <v>1206</v>
      </c>
      <c r="D18" t="str">
        <f t="shared" si="1"/>
        <v>elytra-163</v>
      </c>
      <c r="E18" t="str">
        <f t="shared" si="0"/>
        <v>ROD-SF-elytra-163</v>
      </c>
      <c r="F18" s="10" t="s">
        <v>26</v>
      </c>
      <c r="G18" s="39" t="s">
        <v>965</v>
      </c>
      <c r="H18" s="5" t="s">
        <v>1254</v>
      </c>
      <c r="I18" s="3" t="s">
        <v>1255</v>
      </c>
    </row>
    <row r="19" spans="1:9" ht="15.75">
      <c r="A19" s="1">
        <v>18</v>
      </c>
      <c r="B19" s="3" t="s">
        <v>1256</v>
      </c>
      <c r="C19" s="1" t="s">
        <v>1206</v>
      </c>
      <c r="D19" t="str">
        <f t="shared" si="1"/>
        <v>elytra-164</v>
      </c>
      <c r="E19" t="str">
        <f t="shared" si="0"/>
        <v>ROD-SF-elytra-164</v>
      </c>
      <c r="F19" s="10" t="s">
        <v>26</v>
      </c>
      <c r="G19" s="39" t="s">
        <v>965</v>
      </c>
      <c r="H19" s="5" t="s">
        <v>1257</v>
      </c>
      <c r="I19" s="3" t="s">
        <v>1258</v>
      </c>
    </row>
    <row r="20" spans="1:9" ht="15.75">
      <c r="A20" s="1">
        <v>19</v>
      </c>
      <c r="B20" s="3" t="s">
        <v>1259</v>
      </c>
      <c r="C20" s="1" t="s">
        <v>1206</v>
      </c>
      <c r="D20" t="str">
        <f t="shared" si="1"/>
        <v>elytra-165</v>
      </c>
      <c r="E20" t="str">
        <f t="shared" si="0"/>
        <v>ROD-SF-elytra-165</v>
      </c>
      <c r="F20" s="10" t="s">
        <v>26</v>
      </c>
      <c r="G20" s="39" t="s">
        <v>965</v>
      </c>
    </row>
    <row r="21" spans="1:9" ht="15.75">
      <c r="A21" s="1">
        <v>20</v>
      </c>
      <c r="B21" s="3" t="s">
        <v>1260</v>
      </c>
      <c r="C21" s="1" t="s">
        <v>1206</v>
      </c>
      <c r="D21" t="str">
        <f t="shared" si="1"/>
        <v>elytra-166</v>
      </c>
      <c r="E21" t="str">
        <f t="shared" si="0"/>
        <v>ROD-SF-elytra-166</v>
      </c>
      <c r="F21" s="10" t="s">
        <v>26</v>
      </c>
      <c r="G21" s="39" t="s">
        <v>965</v>
      </c>
      <c r="H21" s="1"/>
      <c r="I21" s="1"/>
    </row>
    <row r="22" spans="1:9" ht="15.75">
      <c r="A22" s="1">
        <v>21</v>
      </c>
      <c r="B22" s="3" t="s">
        <v>1261</v>
      </c>
      <c r="C22" s="1" t="s">
        <v>1206</v>
      </c>
      <c r="D22" t="str">
        <f t="shared" si="1"/>
        <v>elytra-167</v>
      </c>
      <c r="E22" t="str">
        <f t="shared" si="0"/>
        <v>ROD-SF-elytra-167</v>
      </c>
      <c r="F22" s="10" t="s">
        <v>14</v>
      </c>
      <c r="G22" s="39" t="s">
        <v>965</v>
      </c>
      <c r="H22" s="4" t="s">
        <v>1208</v>
      </c>
      <c r="I22" s="6" t="s">
        <v>1262</v>
      </c>
    </row>
    <row r="23" spans="1:9" ht="15.75">
      <c r="A23" s="1">
        <v>22</v>
      </c>
      <c r="B23" s="3" t="s">
        <v>1263</v>
      </c>
      <c r="C23" s="1" t="s">
        <v>1206</v>
      </c>
      <c r="D23" t="str">
        <f t="shared" si="1"/>
        <v>elytra-168</v>
      </c>
      <c r="E23" t="str">
        <f t="shared" si="0"/>
        <v>ROD-SF-elytra-168</v>
      </c>
      <c r="F23" s="10" t="s">
        <v>26</v>
      </c>
      <c r="G23" s="39" t="s">
        <v>965</v>
      </c>
      <c r="H23" s="5" t="s">
        <v>1264</v>
      </c>
      <c r="I23" s="3" t="s">
        <v>1265</v>
      </c>
    </row>
    <row r="24" spans="1:9" ht="15.75">
      <c r="A24" s="1">
        <v>23</v>
      </c>
      <c r="B24" s="3" t="s">
        <v>1266</v>
      </c>
      <c r="C24" s="1" t="s">
        <v>1206</v>
      </c>
      <c r="D24" t="str">
        <f t="shared" si="1"/>
        <v>elytra-169</v>
      </c>
      <c r="E24" t="str">
        <f t="shared" si="0"/>
        <v>ROD-SF-elytra-169</v>
      </c>
      <c r="F24" s="10" t="s">
        <v>26</v>
      </c>
      <c r="G24" s="39" t="s">
        <v>965</v>
      </c>
      <c r="H24" s="5" t="s">
        <v>1267</v>
      </c>
      <c r="I24" s="3" t="s">
        <v>1268</v>
      </c>
    </row>
    <row r="25" spans="1:9" ht="15.75">
      <c r="A25" s="1">
        <v>24</v>
      </c>
      <c r="B25" s="3" t="s">
        <v>1269</v>
      </c>
      <c r="C25" s="1" t="s">
        <v>1206</v>
      </c>
      <c r="D25" t="str">
        <f t="shared" si="1"/>
        <v>elytra-170</v>
      </c>
      <c r="E25" t="str">
        <f t="shared" si="0"/>
        <v>ROD-SF-elytra-170</v>
      </c>
      <c r="F25" s="10" t="s">
        <v>26</v>
      </c>
      <c r="G25" s="39" t="s">
        <v>965</v>
      </c>
      <c r="H25" s="5" t="s">
        <v>1270</v>
      </c>
      <c r="I25" s="3" t="s">
        <v>1271</v>
      </c>
    </row>
    <row r="26" spans="1:9" ht="15.75">
      <c r="A26" s="1">
        <v>25</v>
      </c>
      <c r="B26" s="3" t="s">
        <v>1272</v>
      </c>
      <c r="C26" s="1" t="s">
        <v>1206</v>
      </c>
      <c r="D26" t="str">
        <f t="shared" si="1"/>
        <v>elytra-171</v>
      </c>
      <c r="E26" t="str">
        <f t="shared" si="0"/>
        <v>ROD-SF-elytra-171</v>
      </c>
      <c r="F26" s="10" t="s">
        <v>26</v>
      </c>
      <c r="G26" s="39" t="s">
        <v>965</v>
      </c>
      <c r="H26" s="5" t="s">
        <v>1273</v>
      </c>
      <c r="I26" s="3" t="s">
        <v>1274</v>
      </c>
    </row>
    <row r="27" spans="1:9" ht="15.75">
      <c r="A27" s="1">
        <v>26</v>
      </c>
      <c r="B27" s="3" t="s">
        <v>1275</v>
      </c>
      <c r="C27" s="1" t="s">
        <v>1206</v>
      </c>
      <c r="D27" t="str">
        <f t="shared" si="1"/>
        <v>elytra-172</v>
      </c>
      <c r="E27" t="str">
        <f t="shared" si="0"/>
        <v>ROD-SF-elytra-172</v>
      </c>
      <c r="F27" s="10" t="s">
        <v>26</v>
      </c>
      <c r="G27" s="39" t="s">
        <v>965</v>
      </c>
      <c r="H27" s="5" t="s">
        <v>1276</v>
      </c>
      <c r="I27" s="3" t="s">
        <v>1277</v>
      </c>
    </row>
    <row r="28" spans="1:9" ht="15.75">
      <c r="A28" s="1">
        <v>27</v>
      </c>
      <c r="B28" s="3" t="s">
        <v>1278</v>
      </c>
      <c r="C28" s="1" t="s">
        <v>1206</v>
      </c>
      <c r="D28" t="str">
        <f t="shared" si="1"/>
        <v>elytra-173</v>
      </c>
      <c r="E28" t="str">
        <f t="shared" si="0"/>
        <v>ROD-SF-elytra-173</v>
      </c>
      <c r="F28" s="10" t="s">
        <v>9</v>
      </c>
      <c r="G28" s="39" t="s">
        <v>965</v>
      </c>
      <c r="H28" s="5" t="s">
        <v>1279</v>
      </c>
      <c r="I28" s="1" t="s">
        <v>1280</v>
      </c>
    </row>
    <row r="29" spans="1:9" ht="15.75">
      <c r="A29" s="1">
        <v>28</v>
      </c>
      <c r="B29" s="3" t="s">
        <v>1281</v>
      </c>
      <c r="C29" s="1" t="s">
        <v>1206</v>
      </c>
      <c r="D29" t="str">
        <f t="shared" si="1"/>
        <v>elytra-174</v>
      </c>
      <c r="E29" t="str">
        <f t="shared" si="0"/>
        <v>ROD-SF-elytra-174</v>
      </c>
      <c r="F29" s="10" t="s">
        <v>26</v>
      </c>
      <c r="G29" s="39" t="s">
        <v>965</v>
      </c>
      <c r="H29" s="1"/>
      <c r="I29" s="1"/>
    </row>
    <row r="30" spans="1:9" ht="15.75">
      <c r="A30" s="1">
        <v>29</v>
      </c>
      <c r="B30" s="3" t="s">
        <v>1282</v>
      </c>
      <c r="C30" s="1" t="s">
        <v>1206</v>
      </c>
      <c r="D30" t="str">
        <f t="shared" si="1"/>
        <v>elytra-175</v>
      </c>
      <c r="E30" t="str">
        <f t="shared" si="0"/>
        <v>ROD-SF-elytra-175</v>
      </c>
      <c r="F30" s="10" t="s">
        <v>35</v>
      </c>
      <c r="G30" s="39" t="s">
        <v>965</v>
      </c>
      <c r="H30" s="4" t="s">
        <v>1208</v>
      </c>
      <c r="I30" s="6" t="s">
        <v>1283</v>
      </c>
    </row>
    <row r="31" spans="1:9" ht="15.75">
      <c r="A31" s="1">
        <v>30</v>
      </c>
      <c r="B31" s="3" t="s">
        <v>1284</v>
      </c>
      <c r="C31" s="1" t="s">
        <v>1206</v>
      </c>
      <c r="D31" t="str">
        <f t="shared" si="1"/>
        <v>elytra-176</v>
      </c>
      <c r="E31" t="str">
        <f t="shared" si="0"/>
        <v>ROD-SF-elytra-176</v>
      </c>
      <c r="F31" s="10" t="s">
        <v>35</v>
      </c>
      <c r="G31" s="39" t="s">
        <v>969</v>
      </c>
      <c r="H31" s="5" t="s">
        <v>1285</v>
      </c>
      <c r="I31" s="3" t="s">
        <v>1286</v>
      </c>
    </row>
    <row r="32" spans="1:9" ht="15.75">
      <c r="A32" s="1">
        <v>31</v>
      </c>
      <c r="B32" s="3" t="s">
        <v>1287</v>
      </c>
      <c r="C32" s="1" t="s">
        <v>1206</v>
      </c>
      <c r="D32" t="str">
        <f t="shared" si="1"/>
        <v>elytra-177</v>
      </c>
      <c r="E32" t="str">
        <f t="shared" si="0"/>
        <v>ROD-SF-elytra-177</v>
      </c>
      <c r="F32" s="10" t="s">
        <v>35</v>
      </c>
      <c r="G32" s="39" t="s">
        <v>969</v>
      </c>
      <c r="H32" s="5" t="s">
        <v>1288</v>
      </c>
      <c r="I32" s="3" t="s">
        <v>1289</v>
      </c>
    </row>
    <row r="33" spans="1:9" ht="15.75">
      <c r="A33" s="1">
        <v>32</v>
      </c>
      <c r="B33" s="3" t="s">
        <v>1290</v>
      </c>
      <c r="C33" s="1" t="s">
        <v>1206</v>
      </c>
      <c r="D33" t="str">
        <f t="shared" si="1"/>
        <v>elytra-178</v>
      </c>
      <c r="E33" t="str">
        <f t="shared" si="0"/>
        <v>ROD-SF-elytra-178</v>
      </c>
      <c r="F33" s="10" t="s">
        <v>35</v>
      </c>
      <c r="G33" s="39" t="s">
        <v>969</v>
      </c>
      <c r="H33" s="5" t="s">
        <v>1291</v>
      </c>
      <c r="I33" s="3" t="s">
        <v>1292</v>
      </c>
    </row>
    <row r="34" spans="1:9" ht="15.75">
      <c r="A34" s="1">
        <v>33</v>
      </c>
      <c r="B34" s="3" t="s">
        <v>1293</v>
      </c>
      <c r="C34" s="1" t="s">
        <v>1206</v>
      </c>
      <c r="D34" t="str">
        <f t="shared" si="1"/>
        <v>elytra-179</v>
      </c>
      <c r="E34" t="str">
        <f t="shared" si="0"/>
        <v>ROD-SF-elytra-179</v>
      </c>
      <c r="F34" s="10" t="s">
        <v>35</v>
      </c>
      <c r="G34" s="39" t="s">
        <v>969</v>
      </c>
      <c r="H34" s="5" t="s">
        <v>1294</v>
      </c>
      <c r="I34" s="3" t="s">
        <v>1295</v>
      </c>
    </row>
    <row r="35" spans="1:9" ht="15.75">
      <c r="A35" s="1">
        <v>34</v>
      </c>
      <c r="B35" s="3" t="s">
        <v>1296</v>
      </c>
      <c r="C35" s="1" t="s">
        <v>1206</v>
      </c>
      <c r="D35" t="str">
        <f t="shared" si="1"/>
        <v>elytra-180</v>
      </c>
      <c r="E35" t="str">
        <f t="shared" si="0"/>
        <v>ROD-SF-elytra-180</v>
      </c>
      <c r="F35" s="10" t="s">
        <v>35</v>
      </c>
      <c r="G35" s="39" t="s">
        <v>969</v>
      </c>
      <c r="H35" s="5" t="s">
        <v>1297</v>
      </c>
      <c r="I35" s="3" t="s">
        <v>1298</v>
      </c>
    </row>
    <row r="36" spans="1:9" ht="15.75">
      <c r="A36" s="1">
        <v>35</v>
      </c>
      <c r="B36" s="3" t="s">
        <v>1299</v>
      </c>
      <c r="C36" s="1" t="s">
        <v>1206</v>
      </c>
      <c r="D36" t="str">
        <f t="shared" si="1"/>
        <v>elytra-181</v>
      </c>
      <c r="E36" t="str">
        <f t="shared" si="0"/>
        <v>ROD-SF-elytra-181</v>
      </c>
      <c r="F36" s="10" t="s">
        <v>35</v>
      </c>
      <c r="G36" s="39" t="s">
        <v>969</v>
      </c>
      <c r="H36" s="5" t="s">
        <v>1300</v>
      </c>
      <c r="I36" s="3" t="s">
        <v>1301</v>
      </c>
    </row>
    <row r="37" spans="1:9" ht="15.75">
      <c r="A37" s="1">
        <v>36</v>
      </c>
      <c r="B37" s="3" t="s">
        <v>1302</v>
      </c>
      <c r="C37" s="1" t="s">
        <v>1206</v>
      </c>
      <c r="D37" t="str">
        <f t="shared" si="1"/>
        <v>elytra-182</v>
      </c>
      <c r="E37" t="str">
        <f t="shared" si="0"/>
        <v>ROD-SF-elytra-182</v>
      </c>
      <c r="F37" s="10" t="s">
        <v>26</v>
      </c>
      <c r="G37" s="39" t="s">
        <v>969</v>
      </c>
      <c r="H37" s="5"/>
      <c r="I37" s="3"/>
    </row>
    <row r="38" spans="1:9" ht="15.75">
      <c r="A38" s="1">
        <v>37</v>
      </c>
      <c r="B38" s="3" t="s">
        <v>1303</v>
      </c>
      <c r="C38" s="1" t="s">
        <v>1206</v>
      </c>
      <c r="D38" t="str">
        <f t="shared" si="1"/>
        <v>elytra-183</v>
      </c>
      <c r="E38" t="str">
        <f t="shared" si="0"/>
        <v>ROD-SF-elytra-183</v>
      </c>
      <c r="F38" s="10" t="s">
        <v>35</v>
      </c>
      <c r="G38" s="39" t="s">
        <v>969</v>
      </c>
      <c r="H38" s="4" t="s">
        <v>1208</v>
      </c>
      <c r="I38" s="6" t="s">
        <v>1304</v>
      </c>
    </row>
    <row r="39" spans="1:9" ht="15.75">
      <c r="A39" s="1">
        <v>38</v>
      </c>
      <c r="B39" s="3" t="s">
        <v>1305</v>
      </c>
      <c r="C39" s="1" t="s">
        <v>1206</v>
      </c>
      <c r="D39" t="str">
        <f t="shared" si="1"/>
        <v>elytra-184</v>
      </c>
      <c r="E39" t="str">
        <f t="shared" si="0"/>
        <v>ROD-SF-elytra-184</v>
      </c>
      <c r="F39" s="10" t="s">
        <v>65</v>
      </c>
      <c r="G39" s="39" t="s">
        <v>969</v>
      </c>
      <c r="H39" s="5" t="s">
        <v>1306</v>
      </c>
      <c r="I39" s="3" t="s">
        <v>1307</v>
      </c>
    </row>
    <row r="40" spans="1:9" ht="15.75">
      <c r="A40" s="1">
        <v>39</v>
      </c>
      <c r="B40" s="3" t="s">
        <v>1308</v>
      </c>
      <c r="C40" s="1" t="s">
        <v>1206</v>
      </c>
      <c r="D40" t="str">
        <f t="shared" si="1"/>
        <v>elytra-185</v>
      </c>
      <c r="E40" t="str">
        <f t="shared" si="0"/>
        <v>ROD-SF-elytra-185</v>
      </c>
      <c r="F40" s="10" t="s">
        <v>26</v>
      </c>
      <c r="G40" s="39" t="s">
        <v>969</v>
      </c>
      <c r="H40" s="5" t="s">
        <v>1309</v>
      </c>
      <c r="I40" s="3" t="s">
        <v>1310</v>
      </c>
    </row>
    <row r="41" spans="1:9" ht="15.75">
      <c r="A41" s="1">
        <v>40</v>
      </c>
      <c r="B41" s="3" t="s">
        <v>1311</v>
      </c>
      <c r="C41" s="1" t="s">
        <v>1206</v>
      </c>
      <c r="D41" t="str">
        <f t="shared" si="1"/>
        <v>elytra-186</v>
      </c>
      <c r="E41" t="str">
        <f t="shared" si="0"/>
        <v>ROD-SF-elytra-186</v>
      </c>
      <c r="F41" s="10" t="s">
        <v>26</v>
      </c>
      <c r="G41" s="39" t="s">
        <v>969</v>
      </c>
      <c r="H41" s="5" t="s">
        <v>1312</v>
      </c>
      <c r="I41" s="3" t="s">
        <v>1313</v>
      </c>
    </row>
    <row r="42" spans="1:9" ht="15.75">
      <c r="A42" s="1">
        <v>41</v>
      </c>
      <c r="B42" s="3" t="s">
        <v>1314</v>
      </c>
      <c r="C42" s="1" t="s">
        <v>1206</v>
      </c>
      <c r="D42" t="str">
        <f t="shared" si="1"/>
        <v>elytra-187</v>
      </c>
      <c r="E42" t="str">
        <f t="shared" si="0"/>
        <v>ROD-SF-elytra-187</v>
      </c>
      <c r="F42" s="10" t="s">
        <v>35</v>
      </c>
      <c r="G42" s="39" t="s">
        <v>969</v>
      </c>
      <c r="H42" s="5" t="s">
        <v>1315</v>
      </c>
      <c r="I42" s="3" t="s">
        <v>1316</v>
      </c>
    </row>
    <row r="43" spans="1:9" ht="15.75">
      <c r="A43" s="1">
        <v>42</v>
      </c>
      <c r="B43" s="3" t="s">
        <v>1317</v>
      </c>
      <c r="C43" s="1" t="s">
        <v>1206</v>
      </c>
      <c r="D43" t="str">
        <f t="shared" si="1"/>
        <v>elytra-188</v>
      </c>
      <c r="E43" t="str">
        <f t="shared" si="0"/>
        <v>ROD-SF-elytra-188</v>
      </c>
      <c r="F43" s="10" t="s">
        <v>26</v>
      </c>
      <c r="G43" s="39" t="s">
        <v>969</v>
      </c>
      <c r="H43" s="1"/>
      <c r="I43" s="1"/>
    </row>
    <row r="44" spans="1:9" ht="15.75">
      <c r="A44" s="1">
        <v>43</v>
      </c>
      <c r="B44" s="3" t="s">
        <v>1318</v>
      </c>
      <c r="C44" s="1" t="s">
        <v>1206</v>
      </c>
      <c r="D44" t="str">
        <f t="shared" si="1"/>
        <v>elytra-189</v>
      </c>
      <c r="E44" t="str">
        <f t="shared" si="0"/>
        <v>ROD-SF-elytra-189</v>
      </c>
      <c r="F44" s="10" t="s">
        <v>26</v>
      </c>
      <c r="G44" s="39" t="s">
        <v>969</v>
      </c>
      <c r="H44" s="4" t="s">
        <v>1208</v>
      </c>
      <c r="I44" s="6" t="s">
        <v>1319</v>
      </c>
    </row>
    <row r="45" spans="1:9" ht="15.75">
      <c r="A45" s="1">
        <v>44</v>
      </c>
      <c r="B45" s="3" t="s">
        <v>1320</v>
      </c>
      <c r="C45" s="1" t="s">
        <v>1206</v>
      </c>
      <c r="D45" t="str">
        <f t="shared" si="1"/>
        <v>elytra-190</v>
      </c>
      <c r="E45" t="str">
        <f t="shared" si="0"/>
        <v>ROD-SF-elytra-190</v>
      </c>
      <c r="F45" s="10" t="s">
        <v>26</v>
      </c>
      <c r="G45" s="39" t="s">
        <v>973</v>
      </c>
      <c r="H45" s="5" t="s">
        <v>1321</v>
      </c>
      <c r="I45" s="3" t="s">
        <v>1322</v>
      </c>
    </row>
    <row r="46" spans="1:9" ht="15.75">
      <c r="A46" s="1">
        <v>45</v>
      </c>
      <c r="B46" s="3" t="s">
        <v>1323</v>
      </c>
      <c r="C46" s="1" t="s">
        <v>1206</v>
      </c>
      <c r="D46" t="str">
        <f t="shared" si="1"/>
        <v>elytra-191</v>
      </c>
      <c r="E46" t="str">
        <f t="shared" si="0"/>
        <v>ROD-SF-elytra-191</v>
      </c>
      <c r="F46" s="10" t="s">
        <v>26</v>
      </c>
      <c r="G46" s="39" t="s">
        <v>973</v>
      </c>
      <c r="H46" s="5" t="s">
        <v>1324</v>
      </c>
      <c r="I46" s="3" t="s">
        <v>1325</v>
      </c>
    </row>
    <row r="47" spans="1:9" ht="15.75">
      <c r="A47" s="1">
        <v>46</v>
      </c>
      <c r="B47" s="3" t="s">
        <v>1326</v>
      </c>
      <c r="C47" s="1" t="s">
        <v>1206</v>
      </c>
      <c r="D47" t="str">
        <f t="shared" si="1"/>
        <v>elytra-192</v>
      </c>
      <c r="E47" t="str">
        <f t="shared" si="0"/>
        <v>ROD-SF-elytra-192</v>
      </c>
      <c r="F47" s="10" t="s">
        <v>26</v>
      </c>
      <c r="G47" s="39" t="s">
        <v>973</v>
      </c>
    </row>
    <row r="48" spans="1:9" ht="15.75">
      <c r="A48" s="1">
        <v>47</v>
      </c>
      <c r="B48" s="3" t="s">
        <v>1327</v>
      </c>
      <c r="C48" s="1" t="s">
        <v>1206</v>
      </c>
      <c r="D48" t="str">
        <f t="shared" si="1"/>
        <v>elytra-193</v>
      </c>
      <c r="E48" t="str">
        <f t="shared" si="0"/>
        <v>ROD-SF-elytra-193</v>
      </c>
      <c r="F48" s="10" t="s">
        <v>26</v>
      </c>
      <c r="G48" s="39" t="s">
        <v>973</v>
      </c>
    </row>
    <row r="49" spans="1:7" ht="15.75">
      <c r="A49" s="1">
        <v>48</v>
      </c>
      <c r="B49" s="3" t="s">
        <v>1328</v>
      </c>
      <c r="C49" s="1" t="s">
        <v>1206</v>
      </c>
      <c r="D49" t="str">
        <f t="shared" si="1"/>
        <v>elytra-194</v>
      </c>
      <c r="E49" t="str">
        <f t="shared" si="0"/>
        <v>ROD-SF-elytra-194</v>
      </c>
      <c r="F49" s="10" t="s">
        <v>26</v>
      </c>
      <c r="G49" s="39" t="s">
        <v>973</v>
      </c>
    </row>
    <row r="50" spans="1:7" ht="15.75">
      <c r="A50" s="1">
        <v>49</v>
      </c>
      <c r="B50" s="3" t="s">
        <v>1329</v>
      </c>
      <c r="C50" s="1" t="s">
        <v>1206</v>
      </c>
      <c r="D50" t="str">
        <f t="shared" si="1"/>
        <v>elytra-195</v>
      </c>
      <c r="E50" t="str">
        <f t="shared" si="0"/>
        <v>ROD-SF-elytra-195</v>
      </c>
      <c r="F50" s="10" t="s">
        <v>26</v>
      </c>
      <c r="G50" s="39" t="s">
        <v>973</v>
      </c>
    </row>
    <row r="51" spans="1:7" ht="15.75">
      <c r="A51" s="1">
        <v>50</v>
      </c>
      <c r="B51" s="3" t="s">
        <v>1330</v>
      </c>
      <c r="C51" s="1" t="s">
        <v>1206</v>
      </c>
      <c r="D51" t="str">
        <f t="shared" si="1"/>
        <v>elytra-196</v>
      </c>
      <c r="E51" t="str">
        <f t="shared" si="0"/>
        <v>ROD-SF-elytra-196</v>
      </c>
      <c r="F51" s="10" t="s">
        <v>26</v>
      </c>
      <c r="G51" s="39" t="s">
        <v>1331</v>
      </c>
    </row>
    <row r="52" spans="1:7" ht="15.75">
      <c r="A52" s="1">
        <v>51</v>
      </c>
      <c r="B52" s="3" t="s">
        <v>1332</v>
      </c>
      <c r="C52" s="1" t="s">
        <v>1206</v>
      </c>
      <c r="D52" t="str">
        <f t="shared" si="1"/>
        <v>elytra-197</v>
      </c>
      <c r="E52" t="str">
        <f t="shared" si="0"/>
        <v>ROD-SF-elytra-197</v>
      </c>
      <c r="F52" s="10" t="s">
        <v>26</v>
      </c>
      <c r="G52" s="39" t="s">
        <v>1331</v>
      </c>
    </row>
    <row r="53" spans="1:7" ht="15.75">
      <c r="A53" s="1">
        <v>52</v>
      </c>
      <c r="B53" s="3" t="s">
        <v>1333</v>
      </c>
      <c r="C53" s="1" t="s">
        <v>1206</v>
      </c>
      <c r="D53" t="str">
        <f t="shared" si="1"/>
        <v>elytra-198</v>
      </c>
      <c r="E53" t="str">
        <f t="shared" si="0"/>
        <v>ROD-SF-elytra-198</v>
      </c>
      <c r="F53" s="10" t="s">
        <v>26</v>
      </c>
      <c r="G53" s="39" t="s">
        <v>1331</v>
      </c>
    </row>
    <row r="54" spans="1:7" ht="15.75">
      <c r="A54" s="1">
        <v>53</v>
      </c>
      <c r="B54" s="3" t="s">
        <v>1334</v>
      </c>
      <c r="C54" s="1" t="s">
        <v>1206</v>
      </c>
      <c r="D54" t="str">
        <f t="shared" si="1"/>
        <v>elytra-199</v>
      </c>
      <c r="E54" t="str">
        <f t="shared" si="0"/>
        <v>ROD-SF-elytra-199</v>
      </c>
      <c r="F54" s="10" t="s">
        <v>26</v>
      </c>
      <c r="G54" s="39" t="s">
        <v>1331</v>
      </c>
    </row>
    <row r="55" spans="1:7" ht="15.75">
      <c r="A55" s="1">
        <v>54</v>
      </c>
      <c r="B55" s="3" t="s">
        <v>1335</v>
      </c>
      <c r="C55" s="1" t="s">
        <v>1206</v>
      </c>
      <c r="D55" t="str">
        <f t="shared" si="1"/>
        <v>elytra-200</v>
      </c>
      <c r="E55" t="str">
        <f t="shared" si="0"/>
        <v>ROD-SF-elytra-200</v>
      </c>
      <c r="F55" s="10" t="s">
        <v>26</v>
      </c>
      <c r="G55" s="39" t="s">
        <v>1331</v>
      </c>
    </row>
    <row r="56" spans="1:7" ht="15.75">
      <c r="A56" s="1">
        <v>55</v>
      </c>
      <c r="B56" s="3" t="s">
        <v>1336</v>
      </c>
      <c r="C56" s="1" t="s">
        <v>1206</v>
      </c>
      <c r="D56" t="str">
        <f t="shared" si="1"/>
        <v>elytra-201</v>
      </c>
      <c r="E56" t="str">
        <f t="shared" si="0"/>
        <v>ROD-SF-elytra-201</v>
      </c>
      <c r="F56" s="10" t="s">
        <v>26</v>
      </c>
      <c r="G56" s="39" t="s">
        <v>1331</v>
      </c>
    </row>
    <row r="57" spans="1:7" ht="15.75">
      <c r="A57" s="1">
        <v>56</v>
      </c>
      <c r="B57" s="3" t="s">
        <v>1337</v>
      </c>
      <c r="C57" s="1" t="s">
        <v>1206</v>
      </c>
      <c r="D57" t="str">
        <f t="shared" si="1"/>
        <v>elytra-202</v>
      </c>
      <c r="E57" t="str">
        <f t="shared" si="0"/>
        <v>ROD-SF-elytra-202</v>
      </c>
      <c r="F57" s="10" t="s">
        <v>26</v>
      </c>
      <c r="G57" s="39" t="s">
        <v>1331</v>
      </c>
    </row>
    <row r="58" spans="1:7" ht="15.75">
      <c r="A58" s="1">
        <v>57</v>
      </c>
      <c r="B58" s="3" t="s">
        <v>1338</v>
      </c>
      <c r="C58" s="1" t="s">
        <v>1206</v>
      </c>
      <c r="D58" t="str">
        <f t="shared" si="1"/>
        <v>elytra-203</v>
      </c>
      <c r="E58" t="str">
        <f t="shared" si="0"/>
        <v>ROD-SF-elytra-203</v>
      </c>
      <c r="F58" s="10" t="s">
        <v>26</v>
      </c>
      <c r="G58" s="39" t="s">
        <v>1331</v>
      </c>
    </row>
    <row r="59" spans="1:7" ht="15.75">
      <c r="A59" s="1">
        <v>58</v>
      </c>
      <c r="B59" s="3" t="s">
        <v>1339</v>
      </c>
      <c r="C59" s="1" t="s">
        <v>1206</v>
      </c>
      <c r="D59" t="str">
        <f t="shared" si="1"/>
        <v>elytra-204</v>
      </c>
      <c r="E59" t="str">
        <f t="shared" si="0"/>
        <v>ROD-SF-elytra-204</v>
      </c>
      <c r="F59" s="10" t="s">
        <v>26</v>
      </c>
      <c r="G59" s="39" t="s">
        <v>1340</v>
      </c>
    </row>
    <row r="60" spans="1:7" ht="15.75">
      <c r="A60" s="1">
        <v>59</v>
      </c>
      <c r="B60" s="3" t="s">
        <v>1341</v>
      </c>
      <c r="C60" s="1" t="s">
        <v>1206</v>
      </c>
      <c r="D60" t="str">
        <f t="shared" si="1"/>
        <v>elytra-205</v>
      </c>
      <c r="E60" t="str">
        <f t="shared" si="0"/>
        <v>ROD-SF-elytra-205</v>
      </c>
      <c r="F60" s="10" t="s">
        <v>26</v>
      </c>
      <c r="G60" s="39" t="s">
        <v>1340</v>
      </c>
    </row>
    <row r="61" spans="1:7" ht="15.75">
      <c r="A61" s="1">
        <v>60</v>
      </c>
      <c r="B61" s="3" t="s">
        <v>1342</v>
      </c>
      <c r="C61" s="1" t="s">
        <v>1206</v>
      </c>
      <c r="D61" t="str">
        <f t="shared" si="1"/>
        <v>elytra-206</v>
      </c>
      <c r="E61" t="str">
        <f t="shared" si="0"/>
        <v>ROD-SF-elytra-206</v>
      </c>
      <c r="F61" s="10" t="s">
        <v>26</v>
      </c>
      <c r="G61" s="39" t="s">
        <v>1340</v>
      </c>
    </row>
    <row r="62" spans="1:7" ht="15.75">
      <c r="A62" s="1">
        <v>61</v>
      </c>
      <c r="B62" s="3" t="s">
        <v>1343</v>
      </c>
      <c r="C62" s="1" t="s">
        <v>1206</v>
      </c>
      <c r="D62" t="str">
        <f t="shared" si="1"/>
        <v>elytra-207</v>
      </c>
      <c r="E62" t="str">
        <f t="shared" si="0"/>
        <v>ROD-SF-elytra-207</v>
      </c>
      <c r="F62" s="10" t="s">
        <v>26</v>
      </c>
      <c r="G62" s="39" t="s">
        <v>1340</v>
      </c>
    </row>
    <row r="63" spans="1:7" ht="15.75">
      <c r="A63" s="1">
        <v>62</v>
      </c>
      <c r="B63" s="3" t="s">
        <v>1344</v>
      </c>
      <c r="C63" s="1" t="s">
        <v>1206</v>
      </c>
      <c r="D63" t="str">
        <f t="shared" si="1"/>
        <v>elytra-208</v>
      </c>
      <c r="E63" t="str">
        <f t="shared" si="0"/>
        <v>ROD-SF-elytra-208</v>
      </c>
      <c r="F63" s="10" t="s">
        <v>26</v>
      </c>
      <c r="G63" s="39" t="s">
        <v>1340</v>
      </c>
    </row>
    <row r="64" spans="1:7" ht="15.75">
      <c r="A64" s="1">
        <v>63</v>
      </c>
      <c r="B64" s="3" t="s">
        <v>1345</v>
      </c>
      <c r="C64" s="1" t="s">
        <v>1206</v>
      </c>
      <c r="D64" t="str">
        <f t="shared" si="1"/>
        <v>elytra-209</v>
      </c>
      <c r="E64" t="str">
        <f t="shared" si="0"/>
        <v>ROD-SF-elytra-209</v>
      </c>
      <c r="F64" s="10" t="s">
        <v>26</v>
      </c>
      <c r="G64" s="39" t="s">
        <v>1200</v>
      </c>
    </row>
    <row r="65" spans="1:7" ht="15.75">
      <c r="A65" s="1">
        <v>64</v>
      </c>
      <c r="B65" s="3" t="s">
        <v>1346</v>
      </c>
      <c r="C65" s="1" t="s">
        <v>1206</v>
      </c>
      <c r="D65" t="str">
        <f t="shared" si="1"/>
        <v>elytra-210</v>
      </c>
      <c r="E65" t="str">
        <f t="shared" si="0"/>
        <v>ROD-SF-elytra-210</v>
      </c>
      <c r="F65" s="10" t="s">
        <v>26</v>
      </c>
      <c r="G65" s="39" t="s">
        <v>1200</v>
      </c>
    </row>
    <row r="66" spans="1:7" ht="15.75">
      <c r="A66" s="1">
        <v>65</v>
      </c>
      <c r="B66" s="3" t="s">
        <v>1347</v>
      </c>
      <c r="C66" s="1" t="s">
        <v>1206</v>
      </c>
      <c r="D66" t="str">
        <f t="shared" si="1"/>
        <v>elytra-211</v>
      </c>
      <c r="E66" t="str">
        <f t="shared" ref="E66:E129" si="2">C66&amp;D66</f>
        <v>ROD-SF-elytra-211</v>
      </c>
      <c r="F66" s="10" t="s">
        <v>26</v>
      </c>
      <c r="G66" s="39" t="s">
        <v>1200</v>
      </c>
    </row>
    <row r="67" spans="1:7" ht="15.75">
      <c r="A67" s="1">
        <v>66</v>
      </c>
      <c r="B67" s="3" t="s">
        <v>1348</v>
      </c>
      <c r="C67" s="1" t="s">
        <v>1206</v>
      </c>
      <c r="D67" t="str">
        <f t="shared" ref="D67:D130" si="3">RIGHT(B67,10)</f>
        <v>elytra-212</v>
      </c>
      <c r="E67" t="str">
        <f t="shared" si="2"/>
        <v>ROD-SF-elytra-212</v>
      </c>
      <c r="F67" s="10" t="s">
        <v>35</v>
      </c>
      <c r="G67" s="39" t="s">
        <v>1200</v>
      </c>
    </row>
    <row r="68" spans="1:7" ht="15.75">
      <c r="A68" s="1">
        <v>67</v>
      </c>
      <c r="B68" s="3" t="s">
        <v>1349</v>
      </c>
      <c r="C68" s="1" t="s">
        <v>1206</v>
      </c>
      <c r="D68" t="str">
        <f t="shared" si="3"/>
        <v>elytra-213</v>
      </c>
      <c r="E68" t="str">
        <f t="shared" si="2"/>
        <v>ROD-SF-elytra-213</v>
      </c>
      <c r="F68" s="10" t="s">
        <v>26</v>
      </c>
      <c r="G68" s="39" t="s">
        <v>1200</v>
      </c>
    </row>
    <row r="69" spans="1:7" ht="15.75">
      <c r="A69" s="1">
        <v>68</v>
      </c>
      <c r="B69" s="3" t="s">
        <v>1350</v>
      </c>
      <c r="C69" s="1" t="s">
        <v>1206</v>
      </c>
      <c r="D69" t="str">
        <f t="shared" si="3"/>
        <v>elytra-214</v>
      </c>
      <c r="E69" t="str">
        <f t="shared" si="2"/>
        <v>ROD-SF-elytra-214</v>
      </c>
      <c r="F69" s="10" t="s">
        <v>35</v>
      </c>
      <c r="G69" s="39" t="s">
        <v>1200</v>
      </c>
    </row>
    <row r="70" spans="1:7" ht="15.75">
      <c r="A70" s="1">
        <v>69</v>
      </c>
      <c r="B70" s="3" t="s">
        <v>1351</v>
      </c>
      <c r="C70" s="1" t="s">
        <v>1206</v>
      </c>
      <c r="D70" t="str">
        <f t="shared" si="3"/>
        <v>elytra-215</v>
      </c>
      <c r="E70" t="str">
        <f t="shared" si="2"/>
        <v>ROD-SF-elytra-215</v>
      </c>
      <c r="F70" s="10" t="s">
        <v>26</v>
      </c>
      <c r="G70" s="39" t="s">
        <v>1200</v>
      </c>
    </row>
    <row r="71" spans="1:7" ht="15.75">
      <c r="A71" s="1">
        <v>70</v>
      </c>
      <c r="B71" s="3" t="s">
        <v>1352</v>
      </c>
      <c r="C71" s="1" t="s">
        <v>1206</v>
      </c>
      <c r="D71" t="str">
        <f t="shared" si="3"/>
        <v>elytra-216</v>
      </c>
      <c r="E71" t="str">
        <f t="shared" si="2"/>
        <v>ROD-SF-elytra-216</v>
      </c>
      <c r="F71" s="10" t="s">
        <v>26</v>
      </c>
      <c r="G71" s="39" t="s">
        <v>1200</v>
      </c>
    </row>
    <row r="72" spans="1:7" ht="15.75">
      <c r="A72" s="1">
        <v>71</v>
      </c>
      <c r="B72" s="3" t="s">
        <v>1353</v>
      </c>
      <c r="C72" s="1" t="s">
        <v>1206</v>
      </c>
      <c r="D72" t="str">
        <f t="shared" si="3"/>
        <v>elytra-217</v>
      </c>
      <c r="E72" t="str">
        <f t="shared" si="2"/>
        <v>ROD-SF-elytra-217</v>
      </c>
      <c r="F72" s="10" t="s">
        <v>26</v>
      </c>
      <c r="G72" s="39" t="s">
        <v>1200</v>
      </c>
    </row>
    <row r="73" spans="1:7" ht="15.75">
      <c r="A73" s="1">
        <v>72</v>
      </c>
      <c r="B73" s="3" t="s">
        <v>1354</v>
      </c>
      <c r="C73" s="1" t="s">
        <v>1206</v>
      </c>
      <c r="D73" t="str">
        <f t="shared" si="3"/>
        <v>elytra-218</v>
      </c>
      <c r="E73" t="str">
        <f t="shared" si="2"/>
        <v>ROD-SF-elytra-218</v>
      </c>
      <c r="F73" s="10" t="s">
        <v>26</v>
      </c>
      <c r="G73" s="39" t="s">
        <v>1200</v>
      </c>
    </row>
    <row r="74" spans="1:7" ht="15.75">
      <c r="A74" s="1">
        <v>73</v>
      </c>
      <c r="B74" s="3" t="s">
        <v>1355</v>
      </c>
      <c r="C74" s="1" t="s">
        <v>1206</v>
      </c>
      <c r="D74" t="str">
        <f t="shared" si="3"/>
        <v>elytra-219</v>
      </c>
      <c r="E74" t="str">
        <f t="shared" si="2"/>
        <v>ROD-SF-elytra-219</v>
      </c>
      <c r="F74" s="10" t="s">
        <v>26</v>
      </c>
      <c r="G74" s="39" t="s">
        <v>1200</v>
      </c>
    </row>
    <row r="75" spans="1:7" ht="15.75">
      <c r="A75" s="1">
        <v>74</v>
      </c>
      <c r="B75" s="3" t="s">
        <v>1356</v>
      </c>
      <c r="C75" s="1" t="s">
        <v>1206</v>
      </c>
      <c r="D75" t="str">
        <f t="shared" si="3"/>
        <v>elytra-220</v>
      </c>
      <c r="E75" t="str">
        <f t="shared" si="2"/>
        <v>ROD-SF-elytra-220</v>
      </c>
      <c r="F75" s="10" t="s">
        <v>26</v>
      </c>
      <c r="G75" s="39" t="s">
        <v>1200</v>
      </c>
    </row>
    <row r="76" spans="1:7" ht="15.75">
      <c r="A76" s="1">
        <v>75</v>
      </c>
      <c r="B76" s="3" t="s">
        <v>1357</v>
      </c>
      <c r="C76" s="1" t="s">
        <v>1206</v>
      </c>
      <c r="D76" t="str">
        <f t="shared" si="3"/>
        <v>elytra-221</v>
      </c>
      <c r="E76" t="str">
        <f t="shared" si="2"/>
        <v>ROD-SF-elytra-221</v>
      </c>
      <c r="F76" s="10" t="s">
        <v>26</v>
      </c>
      <c r="G76" s="39" t="s">
        <v>1200</v>
      </c>
    </row>
    <row r="77" spans="1:7" ht="15.75">
      <c r="A77" s="1">
        <v>76</v>
      </c>
      <c r="B77" s="3" t="s">
        <v>1358</v>
      </c>
      <c r="C77" s="1" t="s">
        <v>1206</v>
      </c>
      <c r="D77" t="str">
        <f t="shared" si="3"/>
        <v>elytra-222</v>
      </c>
      <c r="E77" t="str">
        <f t="shared" si="2"/>
        <v>ROD-SF-elytra-222</v>
      </c>
      <c r="F77" s="10" t="s">
        <v>26</v>
      </c>
      <c r="G77" s="39" t="s">
        <v>1200</v>
      </c>
    </row>
    <row r="78" spans="1:7" ht="15.75">
      <c r="A78" s="1">
        <v>77</v>
      </c>
      <c r="B78" s="3" t="s">
        <v>1359</v>
      </c>
      <c r="C78" s="1" t="s">
        <v>1206</v>
      </c>
      <c r="D78" t="str">
        <f t="shared" si="3"/>
        <v>elytra-223</v>
      </c>
      <c r="E78" t="str">
        <f t="shared" si="2"/>
        <v>ROD-SF-elytra-223</v>
      </c>
      <c r="F78" s="10" t="s">
        <v>26</v>
      </c>
      <c r="G78" s="39" t="s">
        <v>1200</v>
      </c>
    </row>
    <row r="79" spans="1:7" ht="15.75">
      <c r="A79" s="1">
        <v>78</v>
      </c>
      <c r="B79" s="3" t="s">
        <v>1360</v>
      </c>
      <c r="C79" s="1" t="s">
        <v>1206</v>
      </c>
      <c r="D79" t="str">
        <f t="shared" si="3"/>
        <v>elytra-224</v>
      </c>
      <c r="E79" t="str">
        <f t="shared" si="2"/>
        <v>ROD-SF-elytra-224</v>
      </c>
      <c r="F79" s="10" t="s">
        <v>26</v>
      </c>
      <c r="G79" s="39" t="s">
        <v>1200</v>
      </c>
    </row>
    <row r="80" spans="1:7" ht="15.75">
      <c r="A80" s="1">
        <v>79</v>
      </c>
      <c r="B80" s="3" t="s">
        <v>1361</v>
      </c>
      <c r="C80" s="1" t="s">
        <v>1206</v>
      </c>
      <c r="D80" t="str">
        <f t="shared" si="3"/>
        <v>elytra-225</v>
      </c>
      <c r="E80" t="str">
        <f t="shared" si="2"/>
        <v>ROD-SF-elytra-225</v>
      </c>
      <c r="F80" s="10" t="s">
        <v>26</v>
      </c>
      <c r="G80" s="39" t="s">
        <v>1200</v>
      </c>
    </row>
    <row r="81" spans="1:7" ht="15.75">
      <c r="A81" s="1">
        <v>80</v>
      </c>
      <c r="B81" s="3" t="s">
        <v>1362</v>
      </c>
      <c r="C81" s="1" t="s">
        <v>1206</v>
      </c>
      <c r="D81" t="str">
        <f t="shared" si="3"/>
        <v>elytra-226</v>
      </c>
      <c r="E81" t="str">
        <f t="shared" si="2"/>
        <v>ROD-SF-elytra-226</v>
      </c>
      <c r="F81" s="10" t="s">
        <v>26</v>
      </c>
      <c r="G81" s="39" t="s">
        <v>1207</v>
      </c>
    </row>
    <row r="82" spans="1:7" ht="15.75">
      <c r="A82" s="1">
        <v>81</v>
      </c>
      <c r="B82" s="3" t="s">
        <v>1363</v>
      </c>
      <c r="C82" s="1" t="s">
        <v>1206</v>
      </c>
      <c r="D82" t="str">
        <f t="shared" si="3"/>
        <v>elytra-227</v>
      </c>
      <c r="E82" t="str">
        <f t="shared" si="2"/>
        <v>ROD-SF-elytra-227</v>
      </c>
      <c r="F82" s="10" t="s">
        <v>26</v>
      </c>
      <c r="G82" s="39" t="s">
        <v>1364</v>
      </c>
    </row>
    <row r="83" spans="1:7" ht="15.75">
      <c r="A83" s="1">
        <v>82</v>
      </c>
      <c r="B83" s="3" t="s">
        <v>1365</v>
      </c>
      <c r="C83" s="1" t="s">
        <v>1206</v>
      </c>
      <c r="D83" t="str">
        <f t="shared" si="3"/>
        <v>elytra-228</v>
      </c>
      <c r="E83" t="str">
        <f t="shared" si="2"/>
        <v>ROD-SF-elytra-228</v>
      </c>
      <c r="F83" s="10" t="s">
        <v>26</v>
      </c>
      <c r="G83" s="39" t="s">
        <v>969</v>
      </c>
    </row>
    <row r="84" spans="1:7" ht="15.75">
      <c r="A84" s="1">
        <v>83</v>
      </c>
      <c r="B84" s="3" t="s">
        <v>1366</v>
      </c>
      <c r="C84" s="1" t="s">
        <v>1206</v>
      </c>
      <c r="D84" t="str">
        <f t="shared" si="3"/>
        <v>elytra-229</v>
      </c>
      <c r="E84" t="str">
        <f t="shared" si="2"/>
        <v>ROD-SF-elytra-229</v>
      </c>
      <c r="F84" s="10" t="s">
        <v>26</v>
      </c>
      <c r="G84" s="39" t="s">
        <v>1367</v>
      </c>
    </row>
    <row r="85" spans="1:7" ht="15.75">
      <c r="A85" s="1">
        <v>84</v>
      </c>
      <c r="B85" s="3" t="s">
        <v>1368</v>
      </c>
      <c r="C85" s="1" t="s">
        <v>1206</v>
      </c>
      <c r="D85" t="str">
        <f t="shared" si="3"/>
        <v>elytra-230</v>
      </c>
      <c r="E85" t="str">
        <f t="shared" si="2"/>
        <v>ROD-SF-elytra-230</v>
      </c>
      <c r="F85" s="10" t="s">
        <v>26</v>
      </c>
      <c r="G85" s="39" t="s">
        <v>1367</v>
      </c>
    </row>
    <row r="86" spans="1:7" ht="15.75">
      <c r="A86" s="1">
        <v>85</v>
      </c>
      <c r="B86" s="3" t="s">
        <v>1369</v>
      </c>
      <c r="C86" s="1" t="s">
        <v>1206</v>
      </c>
      <c r="D86" t="str">
        <f t="shared" si="3"/>
        <v>elytra-231</v>
      </c>
      <c r="E86" t="str">
        <f t="shared" si="2"/>
        <v>ROD-SF-elytra-231</v>
      </c>
      <c r="F86" s="10" t="s">
        <v>35</v>
      </c>
      <c r="G86" s="39" t="s">
        <v>1367</v>
      </c>
    </row>
    <row r="87" spans="1:7" ht="15.75">
      <c r="A87" s="1">
        <v>86</v>
      </c>
      <c r="B87" s="3" t="s">
        <v>1370</v>
      </c>
      <c r="C87" s="1" t="s">
        <v>1206</v>
      </c>
      <c r="D87" t="str">
        <f t="shared" si="3"/>
        <v>elytra-232</v>
      </c>
      <c r="E87" t="str">
        <f t="shared" si="2"/>
        <v>ROD-SF-elytra-232</v>
      </c>
      <c r="F87" s="10" t="s">
        <v>26</v>
      </c>
      <c r="G87" s="39" t="s">
        <v>1340</v>
      </c>
    </row>
    <row r="88" spans="1:7" ht="15.75">
      <c r="A88" s="1">
        <v>87</v>
      </c>
      <c r="B88" s="3" t="s">
        <v>1371</v>
      </c>
      <c r="C88" s="1" t="s">
        <v>1206</v>
      </c>
      <c r="D88" t="str">
        <f t="shared" si="3"/>
        <v>elytra-233</v>
      </c>
      <c r="E88" t="str">
        <f t="shared" si="2"/>
        <v>ROD-SF-elytra-233</v>
      </c>
      <c r="F88" s="10" t="s">
        <v>26</v>
      </c>
      <c r="G88" s="39" t="s">
        <v>1372</v>
      </c>
    </row>
    <row r="89" spans="1:7" ht="15.75">
      <c r="A89" s="1">
        <v>88</v>
      </c>
      <c r="B89" s="3" t="s">
        <v>1373</v>
      </c>
      <c r="C89" s="1" t="s">
        <v>1206</v>
      </c>
      <c r="D89" t="str">
        <f t="shared" si="3"/>
        <v>elytra-234</v>
      </c>
      <c r="E89" t="str">
        <f t="shared" si="2"/>
        <v>ROD-SF-elytra-234</v>
      </c>
      <c r="F89" s="10" t="s">
        <v>26</v>
      </c>
      <c r="G89" s="39" t="s">
        <v>1372</v>
      </c>
    </row>
    <row r="90" spans="1:7" ht="15.75">
      <c r="A90" s="1">
        <v>89</v>
      </c>
      <c r="B90" s="3" t="s">
        <v>1374</v>
      </c>
      <c r="C90" s="1" t="s">
        <v>1206</v>
      </c>
      <c r="D90" t="str">
        <f t="shared" si="3"/>
        <v>elytra-235</v>
      </c>
      <c r="E90" t="str">
        <f t="shared" si="2"/>
        <v>ROD-SF-elytra-235</v>
      </c>
      <c r="F90" s="10" t="s">
        <v>26</v>
      </c>
      <c r="G90" s="39" t="s">
        <v>1372</v>
      </c>
    </row>
    <row r="91" spans="1:7" ht="15.75">
      <c r="A91" s="1">
        <v>90</v>
      </c>
      <c r="B91" s="3" t="s">
        <v>1375</v>
      </c>
      <c r="C91" s="1" t="s">
        <v>1206</v>
      </c>
      <c r="D91" t="str">
        <f t="shared" si="3"/>
        <v>elytra-236</v>
      </c>
      <c r="E91" t="str">
        <f t="shared" si="2"/>
        <v>ROD-SF-elytra-236</v>
      </c>
      <c r="F91" s="10" t="s">
        <v>26</v>
      </c>
      <c r="G91" s="39" t="s">
        <v>1367</v>
      </c>
    </row>
    <row r="92" spans="1:7" ht="15.75">
      <c r="A92" s="1">
        <v>91</v>
      </c>
      <c r="B92" s="3" t="s">
        <v>1376</v>
      </c>
      <c r="C92" s="1" t="s">
        <v>1206</v>
      </c>
      <c r="D92" t="str">
        <f t="shared" si="3"/>
        <v>elytra-237</v>
      </c>
      <c r="E92" t="str">
        <f t="shared" si="2"/>
        <v>ROD-SF-elytra-237</v>
      </c>
      <c r="F92" s="10" t="s">
        <v>26</v>
      </c>
      <c r="G92" s="39" t="s">
        <v>1331</v>
      </c>
    </row>
    <row r="93" spans="1:7" ht="15.75">
      <c r="A93" s="1">
        <v>92</v>
      </c>
      <c r="B93" s="3" t="s">
        <v>1377</v>
      </c>
      <c r="C93" s="1" t="s">
        <v>1206</v>
      </c>
      <c r="D93" t="str">
        <f t="shared" si="3"/>
        <v>elytra-238</v>
      </c>
      <c r="E93" t="str">
        <f t="shared" si="2"/>
        <v>ROD-SF-elytra-238</v>
      </c>
      <c r="F93" s="10" t="s">
        <v>26</v>
      </c>
      <c r="G93" s="39" t="s">
        <v>1331</v>
      </c>
    </row>
    <row r="94" spans="1:7" ht="15.75">
      <c r="A94" s="1">
        <v>93</v>
      </c>
      <c r="B94" s="3" t="s">
        <v>1378</v>
      </c>
      <c r="C94" s="1" t="s">
        <v>1206</v>
      </c>
      <c r="D94" t="str">
        <f t="shared" si="3"/>
        <v>elytra-239</v>
      </c>
      <c r="E94" t="str">
        <f t="shared" si="2"/>
        <v>ROD-SF-elytra-239</v>
      </c>
      <c r="F94" s="10" t="s">
        <v>26</v>
      </c>
      <c r="G94" s="39" t="s">
        <v>1331</v>
      </c>
    </row>
    <row r="95" spans="1:7" ht="15.75">
      <c r="A95" s="1">
        <v>94</v>
      </c>
      <c r="B95" s="3" t="s">
        <v>1379</v>
      </c>
      <c r="C95" s="1" t="s">
        <v>1206</v>
      </c>
      <c r="D95" t="str">
        <f t="shared" si="3"/>
        <v>elytra-240</v>
      </c>
      <c r="E95" t="str">
        <f t="shared" si="2"/>
        <v>ROD-SF-elytra-240</v>
      </c>
      <c r="F95" s="10" t="s">
        <v>26</v>
      </c>
      <c r="G95" s="39" t="s">
        <v>1331</v>
      </c>
    </row>
    <row r="96" spans="1:7" ht="15.75">
      <c r="A96" s="1">
        <v>95</v>
      </c>
      <c r="B96" s="3" t="s">
        <v>1380</v>
      </c>
      <c r="C96" s="1" t="s">
        <v>1206</v>
      </c>
      <c r="D96" t="str">
        <f t="shared" si="3"/>
        <v>elytra-241</v>
      </c>
      <c r="E96" t="str">
        <f t="shared" si="2"/>
        <v>ROD-SF-elytra-241</v>
      </c>
      <c r="F96" s="10" t="s">
        <v>26</v>
      </c>
      <c r="G96" s="39" t="s">
        <v>1331</v>
      </c>
    </row>
    <row r="97" spans="1:7" ht="15.75">
      <c r="A97" s="1">
        <v>96</v>
      </c>
      <c r="B97" s="3" t="s">
        <v>1381</v>
      </c>
      <c r="C97" s="1" t="s">
        <v>1206</v>
      </c>
      <c r="D97" t="str">
        <f t="shared" si="3"/>
        <v>elytra-242</v>
      </c>
      <c r="E97" t="str">
        <f t="shared" si="2"/>
        <v>ROD-SF-elytra-242</v>
      </c>
      <c r="F97" s="10" t="s">
        <v>26</v>
      </c>
      <c r="G97" s="39" t="s">
        <v>1331</v>
      </c>
    </row>
    <row r="98" spans="1:7" ht="15.75">
      <c r="A98" s="1">
        <v>97</v>
      </c>
      <c r="B98" s="3" t="s">
        <v>1382</v>
      </c>
      <c r="C98" s="1" t="s">
        <v>1206</v>
      </c>
      <c r="D98" t="str">
        <f t="shared" si="3"/>
        <v>elytra-243</v>
      </c>
      <c r="E98" t="str">
        <f t="shared" si="2"/>
        <v>ROD-SF-elytra-243</v>
      </c>
      <c r="F98" s="10" t="s">
        <v>26</v>
      </c>
      <c r="G98" s="39" t="s">
        <v>1331</v>
      </c>
    </row>
    <row r="99" spans="1:7" ht="15.75">
      <c r="A99" s="1">
        <v>98</v>
      </c>
      <c r="B99" s="3" t="s">
        <v>1383</v>
      </c>
      <c r="C99" s="1" t="s">
        <v>1206</v>
      </c>
      <c r="D99" t="str">
        <f t="shared" si="3"/>
        <v>elytra-244</v>
      </c>
      <c r="E99" t="str">
        <f t="shared" si="2"/>
        <v>ROD-SF-elytra-244</v>
      </c>
      <c r="F99" s="10" t="s">
        <v>26</v>
      </c>
      <c r="G99" s="39" t="s">
        <v>1331</v>
      </c>
    </row>
    <row r="100" spans="1:7" ht="15.75">
      <c r="A100" s="1">
        <v>99</v>
      </c>
      <c r="B100" s="3" t="s">
        <v>1384</v>
      </c>
      <c r="C100" s="1" t="s">
        <v>1206</v>
      </c>
      <c r="D100" t="str">
        <f t="shared" si="3"/>
        <v>elytra-245</v>
      </c>
      <c r="E100" t="str">
        <f t="shared" si="2"/>
        <v>ROD-SF-elytra-245</v>
      </c>
      <c r="F100" s="10" t="s">
        <v>26</v>
      </c>
      <c r="G100" s="39" t="s">
        <v>1331</v>
      </c>
    </row>
    <row r="101" spans="1:7" ht="15.75">
      <c r="A101" s="1">
        <v>100</v>
      </c>
      <c r="B101" s="3" t="s">
        <v>1385</v>
      </c>
      <c r="C101" s="1" t="s">
        <v>1206</v>
      </c>
      <c r="D101" t="str">
        <f t="shared" si="3"/>
        <v>elytra-246</v>
      </c>
      <c r="E101" t="str">
        <f t="shared" si="2"/>
        <v>ROD-SF-elytra-246</v>
      </c>
      <c r="F101" s="10" t="s">
        <v>35</v>
      </c>
      <c r="G101" s="39" t="s">
        <v>1331</v>
      </c>
    </row>
    <row r="102" spans="1:7" ht="15.75">
      <c r="A102" s="1">
        <v>101</v>
      </c>
      <c r="B102" s="3" t="s">
        <v>1386</v>
      </c>
      <c r="C102" s="1" t="s">
        <v>1206</v>
      </c>
      <c r="D102" t="str">
        <f t="shared" si="3"/>
        <v>elytra-247</v>
      </c>
      <c r="E102" t="str">
        <f t="shared" si="2"/>
        <v>ROD-SF-elytra-247</v>
      </c>
      <c r="F102" s="10" t="s">
        <v>26</v>
      </c>
      <c r="G102" s="39" t="s">
        <v>1331</v>
      </c>
    </row>
    <row r="103" spans="1:7" ht="15.75">
      <c r="A103" s="1">
        <v>102</v>
      </c>
      <c r="B103" s="3" t="s">
        <v>1387</v>
      </c>
      <c r="C103" s="1" t="s">
        <v>1206</v>
      </c>
      <c r="D103" t="str">
        <f t="shared" si="3"/>
        <v>elytra-248</v>
      </c>
      <c r="E103" t="str">
        <f t="shared" si="2"/>
        <v>ROD-SF-elytra-248</v>
      </c>
      <c r="F103" s="10" t="s">
        <v>26</v>
      </c>
      <c r="G103" s="39" t="s">
        <v>1331</v>
      </c>
    </row>
    <row r="104" spans="1:7" ht="15.75">
      <c r="A104" s="1">
        <v>103</v>
      </c>
      <c r="B104" s="3" t="s">
        <v>1388</v>
      </c>
      <c r="C104" s="1" t="s">
        <v>1206</v>
      </c>
      <c r="D104" t="str">
        <f t="shared" si="3"/>
        <v>elytra-249</v>
      </c>
      <c r="E104" t="str">
        <f t="shared" si="2"/>
        <v>ROD-SF-elytra-249</v>
      </c>
      <c r="F104" s="10" t="s">
        <v>26</v>
      </c>
      <c r="G104" s="39" t="s">
        <v>1331</v>
      </c>
    </row>
    <row r="105" spans="1:7" ht="15.75">
      <c r="A105" s="1">
        <v>104</v>
      </c>
      <c r="B105" s="3" t="s">
        <v>1389</v>
      </c>
      <c r="C105" s="1" t="s">
        <v>1206</v>
      </c>
      <c r="D105" t="str">
        <f t="shared" si="3"/>
        <v>elytra-250</v>
      </c>
      <c r="E105" t="str">
        <f t="shared" si="2"/>
        <v>ROD-SF-elytra-250</v>
      </c>
      <c r="F105" s="10" t="s">
        <v>26</v>
      </c>
      <c r="G105" s="39" t="s">
        <v>1331</v>
      </c>
    </row>
    <row r="106" spans="1:7" ht="15.75">
      <c r="A106" s="1">
        <v>105</v>
      </c>
      <c r="B106" s="3" t="s">
        <v>1390</v>
      </c>
      <c r="C106" s="1" t="s">
        <v>1206</v>
      </c>
      <c r="D106" t="str">
        <f t="shared" si="3"/>
        <v>elytra-251</v>
      </c>
      <c r="E106" t="str">
        <f t="shared" si="2"/>
        <v>ROD-SF-elytra-251</v>
      </c>
      <c r="F106" s="10" t="s">
        <v>26</v>
      </c>
      <c r="G106" s="39" t="s">
        <v>1331</v>
      </c>
    </row>
    <row r="107" spans="1:7" ht="15.75">
      <c r="A107" s="1">
        <v>106</v>
      </c>
      <c r="B107" s="3" t="s">
        <v>1391</v>
      </c>
      <c r="C107" s="1" t="s">
        <v>1206</v>
      </c>
      <c r="D107" t="str">
        <f t="shared" si="3"/>
        <v>elytra-252</v>
      </c>
      <c r="E107" t="str">
        <f t="shared" si="2"/>
        <v>ROD-SF-elytra-252</v>
      </c>
      <c r="F107" s="10" t="s">
        <v>26</v>
      </c>
      <c r="G107" s="39" t="s">
        <v>1331</v>
      </c>
    </row>
    <row r="108" spans="1:7" ht="15.75">
      <c r="A108" s="1">
        <v>107</v>
      </c>
      <c r="B108" s="3" t="s">
        <v>1392</v>
      </c>
      <c r="C108" s="1" t="s">
        <v>1206</v>
      </c>
      <c r="D108" t="str">
        <f t="shared" si="3"/>
        <v>elytra-253</v>
      </c>
      <c r="E108" t="str">
        <f t="shared" si="2"/>
        <v>ROD-SF-elytra-253</v>
      </c>
      <c r="F108" s="10" t="s">
        <v>26</v>
      </c>
      <c r="G108" s="39" t="s">
        <v>1331</v>
      </c>
    </row>
    <row r="109" spans="1:7" ht="15.75">
      <c r="A109" s="1">
        <v>108</v>
      </c>
      <c r="B109" s="3" t="s">
        <v>1393</v>
      </c>
      <c r="C109" s="1" t="s">
        <v>1206</v>
      </c>
      <c r="D109" t="str">
        <f t="shared" si="3"/>
        <v>elytra-254</v>
      </c>
      <c r="E109" t="str">
        <f t="shared" si="2"/>
        <v>ROD-SF-elytra-254</v>
      </c>
      <c r="F109" s="10" t="s">
        <v>26</v>
      </c>
      <c r="G109" s="39" t="s">
        <v>1331</v>
      </c>
    </row>
    <row r="110" spans="1:7" ht="15.75">
      <c r="A110" s="1">
        <v>109</v>
      </c>
      <c r="B110" s="3" t="s">
        <v>1394</v>
      </c>
      <c r="C110" s="1" t="s">
        <v>1206</v>
      </c>
      <c r="D110" t="str">
        <f t="shared" si="3"/>
        <v>elytra-255</v>
      </c>
      <c r="E110" t="str">
        <f t="shared" si="2"/>
        <v>ROD-SF-elytra-255</v>
      </c>
      <c r="F110" s="10" t="s">
        <v>26</v>
      </c>
      <c r="G110" s="39" t="s">
        <v>1331</v>
      </c>
    </row>
    <row r="111" spans="1:7" ht="15.75">
      <c r="A111" s="1">
        <v>110</v>
      </c>
      <c r="B111" s="3" t="s">
        <v>1395</v>
      </c>
      <c r="C111" s="1" t="s">
        <v>1206</v>
      </c>
      <c r="D111" t="str">
        <f t="shared" si="3"/>
        <v>elytra-256</v>
      </c>
      <c r="E111" t="str">
        <f t="shared" si="2"/>
        <v>ROD-SF-elytra-256</v>
      </c>
      <c r="F111" s="10" t="s">
        <v>26</v>
      </c>
      <c r="G111" s="39" t="s">
        <v>1331</v>
      </c>
    </row>
    <row r="112" spans="1:7" ht="15.75">
      <c r="A112" s="1">
        <v>111</v>
      </c>
      <c r="B112" s="3" t="s">
        <v>1396</v>
      </c>
      <c r="C112" s="1" t="s">
        <v>1206</v>
      </c>
      <c r="D112" t="str">
        <f t="shared" si="3"/>
        <v>elytra-257</v>
      </c>
      <c r="E112" t="str">
        <f t="shared" si="2"/>
        <v>ROD-SF-elytra-257</v>
      </c>
      <c r="F112" s="10" t="s">
        <v>26</v>
      </c>
      <c r="G112" s="39" t="s">
        <v>1331</v>
      </c>
    </row>
    <row r="113" spans="1:7" ht="15.75">
      <c r="A113" s="1">
        <v>112</v>
      </c>
      <c r="B113" s="3" t="s">
        <v>1397</v>
      </c>
      <c r="C113" s="1" t="s">
        <v>1206</v>
      </c>
      <c r="D113" t="str">
        <f t="shared" si="3"/>
        <v>elytra-258</v>
      </c>
      <c r="E113" t="str">
        <f t="shared" si="2"/>
        <v>ROD-SF-elytra-258</v>
      </c>
      <c r="F113" s="10" t="s">
        <v>26</v>
      </c>
      <c r="G113" s="39" t="s">
        <v>1331</v>
      </c>
    </row>
    <row r="114" spans="1:7" ht="15.75">
      <c r="A114" s="1">
        <v>113</v>
      </c>
      <c r="B114" s="3" t="s">
        <v>1398</v>
      </c>
      <c r="C114" s="1" t="s">
        <v>1206</v>
      </c>
      <c r="D114" t="str">
        <f t="shared" si="3"/>
        <v>elytra-259</v>
      </c>
      <c r="E114" t="str">
        <f t="shared" si="2"/>
        <v>ROD-SF-elytra-259</v>
      </c>
      <c r="F114" s="10" t="s">
        <v>26</v>
      </c>
      <c r="G114" s="39" t="s">
        <v>1331</v>
      </c>
    </row>
    <row r="115" spans="1:7" ht="15.75">
      <c r="A115" s="1">
        <v>114</v>
      </c>
      <c r="B115" s="3" t="s">
        <v>1399</v>
      </c>
      <c r="C115" s="1" t="s">
        <v>1206</v>
      </c>
      <c r="D115" t="str">
        <f t="shared" si="3"/>
        <v>elytra-260</v>
      </c>
      <c r="E115" t="str">
        <f t="shared" si="2"/>
        <v>ROD-SF-elytra-260</v>
      </c>
      <c r="F115" s="10" t="s">
        <v>26</v>
      </c>
      <c r="G115" s="39" t="s">
        <v>1331</v>
      </c>
    </row>
    <row r="116" spans="1:7" ht="15.75">
      <c r="A116" s="1">
        <v>115</v>
      </c>
      <c r="B116" s="3" t="s">
        <v>1400</v>
      </c>
      <c r="C116" s="1" t="s">
        <v>1206</v>
      </c>
      <c r="D116" t="str">
        <f t="shared" si="3"/>
        <v>elytra-261</v>
      </c>
      <c r="E116" t="str">
        <f t="shared" si="2"/>
        <v>ROD-SF-elytra-261</v>
      </c>
      <c r="F116" s="10" t="s">
        <v>26</v>
      </c>
      <c r="G116" s="39" t="s">
        <v>1331</v>
      </c>
    </row>
    <row r="117" spans="1:7" ht="15.75">
      <c r="A117" s="1">
        <v>116</v>
      </c>
      <c r="B117" s="3" t="s">
        <v>1401</v>
      </c>
      <c r="C117" s="1" t="s">
        <v>1206</v>
      </c>
      <c r="D117" t="str">
        <f t="shared" si="3"/>
        <v>elytra-262</v>
      </c>
      <c r="E117" t="str">
        <f t="shared" si="2"/>
        <v>ROD-SF-elytra-262</v>
      </c>
      <c r="F117" s="10" t="s">
        <v>26</v>
      </c>
      <c r="G117" s="39" t="s">
        <v>1331</v>
      </c>
    </row>
    <row r="118" spans="1:7" ht="15.75">
      <c r="A118" s="1">
        <v>117</v>
      </c>
      <c r="B118" s="3" t="s">
        <v>1402</v>
      </c>
      <c r="C118" s="1" t="s">
        <v>1206</v>
      </c>
      <c r="D118" t="str">
        <f t="shared" si="3"/>
        <v>elytra-263</v>
      </c>
      <c r="E118" t="str">
        <f t="shared" si="2"/>
        <v>ROD-SF-elytra-263</v>
      </c>
      <c r="F118" s="10" t="s">
        <v>26</v>
      </c>
      <c r="G118" s="39" t="s">
        <v>1331</v>
      </c>
    </row>
    <row r="119" spans="1:7" ht="15.75">
      <c r="A119" s="1">
        <v>118</v>
      </c>
      <c r="B119" s="3" t="s">
        <v>1403</v>
      </c>
      <c r="C119" s="1" t="s">
        <v>1206</v>
      </c>
      <c r="D119" t="str">
        <f t="shared" si="3"/>
        <v>elytra-264</v>
      </c>
      <c r="E119" t="str">
        <f t="shared" si="2"/>
        <v>ROD-SF-elytra-264</v>
      </c>
      <c r="F119" s="10" t="s">
        <v>26</v>
      </c>
      <c r="G119" s="39" t="s">
        <v>1331</v>
      </c>
    </row>
    <row r="120" spans="1:7" ht="15.75">
      <c r="A120" s="1">
        <v>119</v>
      </c>
      <c r="B120" s="3" t="s">
        <v>1404</v>
      </c>
      <c r="C120" s="1" t="s">
        <v>1206</v>
      </c>
      <c r="D120" t="str">
        <f t="shared" si="3"/>
        <v>elytra-265</v>
      </c>
      <c r="E120" t="str">
        <f t="shared" si="2"/>
        <v>ROD-SF-elytra-265</v>
      </c>
      <c r="F120" s="10" t="s">
        <v>26</v>
      </c>
      <c r="G120" s="39" t="s">
        <v>1331</v>
      </c>
    </row>
    <row r="121" spans="1:7" ht="15.75">
      <c r="A121" s="1">
        <v>120</v>
      </c>
      <c r="B121" s="3" t="s">
        <v>1405</v>
      </c>
      <c r="C121" s="1" t="s">
        <v>1206</v>
      </c>
      <c r="D121" t="str">
        <f t="shared" si="3"/>
        <v>elytra-266</v>
      </c>
      <c r="E121" t="str">
        <f t="shared" si="2"/>
        <v>ROD-SF-elytra-266</v>
      </c>
      <c r="F121" s="10" t="s">
        <v>26</v>
      </c>
      <c r="G121" s="39" t="s">
        <v>1331</v>
      </c>
    </row>
    <row r="122" spans="1:7" ht="15.75">
      <c r="A122" s="1">
        <v>121</v>
      </c>
      <c r="B122" s="3" t="s">
        <v>1406</v>
      </c>
      <c r="C122" s="1" t="s">
        <v>1206</v>
      </c>
      <c r="D122" t="str">
        <f t="shared" si="3"/>
        <v>elytra-267</v>
      </c>
      <c r="E122" t="str">
        <f t="shared" si="2"/>
        <v>ROD-SF-elytra-267</v>
      </c>
      <c r="F122" s="10" t="s">
        <v>26</v>
      </c>
      <c r="G122" s="39" t="s">
        <v>1331</v>
      </c>
    </row>
    <row r="123" spans="1:7" ht="15.75">
      <c r="A123" s="1">
        <v>122</v>
      </c>
      <c r="B123" s="3" t="s">
        <v>1407</v>
      </c>
      <c r="C123" s="1" t="s">
        <v>1206</v>
      </c>
      <c r="D123" t="str">
        <f t="shared" si="3"/>
        <v>elytra-268</v>
      </c>
      <c r="E123" t="str">
        <f t="shared" si="2"/>
        <v>ROD-SF-elytra-268</v>
      </c>
      <c r="F123" s="10" t="s">
        <v>26</v>
      </c>
      <c r="G123" s="39" t="s">
        <v>1331</v>
      </c>
    </row>
    <row r="124" spans="1:7" ht="15.75">
      <c r="A124" s="1">
        <v>123</v>
      </c>
      <c r="B124" s="3" t="s">
        <v>1408</v>
      </c>
      <c r="C124" s="1" t="s">
        <v>1206</v>
      </c>
      <c r="D124" t="str">
        <f t="shared" si="3"/>
        <v>elytra-269</v>
      </c>
      <c r="E124" t="str">
        <f t="shared" si="2"/>
        <v>ROD-SF-elytra-269</v>
      </c>
      <c r="F124" s="10" t="s">
        <v>26</v>
      </c>
      <c r="G124" s="39" t="s">
        <v>1331</v>
      </c>
    </row>
    <row r="125" spans="1:7" ht="15.75">
      <c r="A125" s="1">
        <v>124</v>
      </c>
      <c r="B125" s="3" t="s">
        <v>1409</v>
      </c>
      <c r="C125" s="1" t="s">
        <v>1206</v>
      </c>
      <c r="D125" t="str">
        <f t="shared" si="3"/>
        <v>elytra-270</v>
      </c>
      <c r="E125" t="str">
        <f t="shared" si="2"/>
        <v>ROD-SF-elytra-270</v>
      </c>
      <c r="F125" s="10" t="s">
        <v>26</v>
      </c>
      <c r="G125" s="39" t="s">
        <v>1331</v>
      </c>
    </row>
    <row r="126" spans="1:7" ht="15.75">
      <c r="A126" s="1">
        <v>125</v>
      </c>
      <c r="B126" s="3" t="s">
        <v>1410</v>
      </c>
      <c r="C126" s="1" t="s">
        <v>1206</v>
      </c>
      <c r="D126" t="str">
        <f t="shared" si="3"/>
        <v>elytra-271</v>
      </c>
      <c r="E126" t="str">
        <f t="shared" si="2"/>
        <v>ROD-SF-elytra-271</v>
      </c>
      <c r="F126" s="10" t="s">
        <v>35</v>
      </c>
      <c r="G126" s="39" t="s">
        <v>1331</v>
      </c>
    </row>
    <row r="127" spans="1:7" ht="15.75">
      <c r="A127" s="1">
        <v>126</v>
      </c>
      <c r="B127" s="3" t="s">
        <v>1411</v>
      </c>
      <c r="C127" s="1" t="s">
        <v>1206</v>
      </c>
      <c r="D127" t="str">
        <f t="shared" si="3"/>
        <v>elytra-272</v>
      </c>
      <c r="E127" t="str">
        <f t="shared" si="2"/>
        <v>ROD-SF-elytra-272</v>
      </c>
      <c r="F127" s="10" t="s">
        <v>26</v>
      </c>
      <c r="G127" s="39" t="s">
        <v>1331</v>
      </c>
    </row>
    <row r="128" spans="1:7" ht="15.75">
      <c r="A128" s="1">
        <v>127</v>
      </c>
      <c r="B128" s="3" t="s">
        <v>1412</v>
      </c>
      <c r="C128" s="1" t="s">
        <v>1206</v>
      </c>
      <c r="D128" t="str">
        <f t="shared" si="3"/>
        <v>elytra-273</v>
      </c>
      <c r="E128" t="str">
        <f t="shared" si="2"/>
        <v>ROD-SF-elytra-273</v>
      </c>
      <c r="F128" s="10" t="s">
        <v>26</v>
      </c>
      <c r="G128" s="39" t="s">
        <v>1331</v>
      </c>
    </row>
    <row r="129" spans="1:7" ht="15.75">
      <c r="A129" s="1">
        <v>128</v>
      </c>
      <c r="B129" s="3" t="s">
        <v>1413</v>
      </c>
      <c r="C129" s="1" t="s">
        <v>1206</v>
      </c>
      <c r="D129" t="str">
        <f t="shared" si="3"/>
        <v>elytra-274</v>
      </c>
      <c r="E129" t="str">
        <f t="shared" si="2"/>
        <v>ROD-SF-elytra-274</v>
      </c>
      <c r="F129" s="10" t="s">
        <v>26</v>
      </c>
      <c r="G129" s="39" t="s">
        <v>1331</v>
      </c>
    </row>
    <row r="130" spans="1:7" ht="15.75">
      <c r="A130" s="1">
        <v>129</v>
      </c>
      <c r="B130" s="3" t="s">
        <v>1414</v>
      </c>
      <c r="C130" s="1" t="s">
        <v>1206</v>
      </c>
      <c r="D130" t="str">
        <f t="shared" si="3"/>
        <v>elytra-275</v>
      </c>
      <c r="E130" t="str">
        <f t="shared" ref="E130:E193" si="4">C130&amp;D130</f>
        <v>ROD-SF-elytra-275</v>
      </c>
      <c r="F130" s="10" t="s">
        <v>26</v>
      </c>
      <c r="G130" s="39" t="s">
        <v>1331</v>
      </c>
    </row>
    <row r="131" spans="1:7" ht="15.75">
      <c r="A131" s="1">
        <v>130</v>
      </c>
      <c r="B131" s="3" t="s">
        <v>1415</v>
      </c>
      <c r="C131" s="1" t="s">
        <v>1206</v>
      </c>
      <c r="D131" t="str">
        <f t="shared" ref="D131:D164" si="5">RIGHT(B131,10)</f>
        <v>elytra-276</v>
      </c>
      <c r="E131" t="str">
        <f t="shared" si="4"/>
        <v>ROD-SF-elytra-276</v>
      </c>
      <c r="F131" s="10" t="s">
        <v>26</v>
      </c>
      <c r="G131" s="39" t="s">
        <v>1331</v>
      </c>
    </row>
    <row r="132" spans="1:7" ht="15.75">
      <c r="A132" s="1">
        <v>131</v>
      </c>
      <c r="B132" s="3" t="s">
        <v>1416</v>
      </c>
      <c r="C132" s="1" t="s">
        <v>1206</v>
      </c>
      <c r="D132" t="str">
        <f t="shared" si="5"/>
        <v>elytra-277</v>
      </c>
      <c r="E132" t="str">
        <f t="shared" si="4"/>
        <v>ROD-SF-elytra-277</v>
      </c>
      <c r="F132" s="10" t="s">
        <v>26</v>
      </c>
      <c r="G132" s="39" t="s">
        <v>1331</v>
      </c>
    </row>
    <row r="133" spans="1:7" ht="15.75">
      <c r="A133" s="1">
        <v>132</v>
      </c>
      <c r="B133" s="3" t="s">
        <v>1417</v>
      </c>
      <c r="C133" s="1" t="s">
        <v>1206</v>
      </c>
      <c r="D133" t="str">
        <f t="shared" si="5"/>
        <v>elytra-278</v>
      </c>
      <c r="E133" t="str">
        <f t="shared" si="4"/>
        <v>ROD-SF-elytra-278</v>
      </c>
      <c r="F133" s="10" t="s">
        <v>26</v>
      </c>
      <c r="G133" s="39" t="s">
        <v>1331</v>
      </c>
    </row>
    <row r="134" spans="1:7" ht="15.75">
      <c r="A134" s="1">
        <v>133</v>
      </c>
      <c r="B134" s="3" t="s">
        <v>1418</v>
      </c>
      <c r="C134" s="1" t="s">
        <v>1206</v>
      </c>
      <c r="D134" t="str">
        <f t="shared" si="5"/>
        <v>elytra-279</v>
      </c>
      <c r="E134" t="str">
        <f t="shared" si="4"/>
        <v>ROD-SF-elytra-279</v>
      </c>
      <c r="F134" s="10" t="s">
        <v>26</v>
      </c>
      <c r="G134" s="39" t="s">
        <v>1331</v>
      </c>
    </row>
    <row r="135" spans="1:7" ht="15.75">
      <c r="A135" s="1">
        <v>134</v>
      </c>
      <c r="B135" s="3" t="s">
        <v>1419</v>
      </c>
      <c r="C135" s="1" t="s">
        <v>1206</v>
      </c>
      <c r="D135" t="str">
        <f t="shared" si="5"/>
        <v>elytra-280</v>
      </c>
      <c r="E135" t="str">
        <f t="shared" si="4"/>
        <v>ROD-SF-elytra-280</v>
      </c>
      <c r="F135" s="10" t="s">
        <v>26</v>
      </c>
      <c r="G135" s="39" t="s">
        <v>1331</v>
      </c>
    </row>
    <row r="136" spans="1:7" ht="15.75">
      <c r="A136" s="1">
        <v>135</v>
      </c>
      <c r="B136" s="3" t="s">
        <v>1420</v>
      </c>
      <c r="C136" s="1" t="s">
        <v>1206</v>
      </c>
      <c r="D136" t="str">
        <f t="shared" si="5"/>
        <v>elytra-281</v>
      </c>
      <c r="E136" t="str">
        <f t="shared" si="4"/>
        <v>ROD-SF-elytra-281</v>
      </c>
      <c r="F136" s="10" t="s">
        <v>26</v>
      </c>
      <c r="G136" s="39" t="s">
        <v>1331</v>
      </c>
    </row>
    <row r="137" spans="1:7" ht="15.75">
      <c r="A137" s="1">
        <v>136</v>
      </c>
      <c r="B137" s="3" t="s">
        <v>1421</v>
      </c>
      <c r="C137" s="1" t="s">
        <v>1206</v>
      </c>
      <c r="D137" t="str">
        <f t="shared" si="5"/>
        <v>elytra-282</v>
      </c>
      <c r="E137" t="str">
        <f t="shared" si="4"/>
        <v>ROD-SF-elytra-282</v>
      </c>
      <c r="F137" s="10" t="s">
        <v>35</v>
      </c>
      <c r="G137" s="39" t="s">
        <v>1331</v>
      </c>
    </row>
    <row r="138" spans="1:7" ht="15.75">
      <c r="A138" s="1">
        <v>137</v>
      </c>
      <c r="B138" s="3" t="s">
        <v>1422</v>
      </c>
      <c r="C138" s="1" t="s">
        <v>1206</v>
      </c>
      <c r="D138" t="str">
        <f t="shared" si="5"/>
        <v>elytra-283</v>
      </c>
      <c r="E138" t="str">
        <f t="shared" si="4"/>
        <v>ROD-SF-elytra-283</v>
      </c>
      <c r="F138" s="10" t="s">
        <v>26</v>
      </c>
      <c r="G138" s="39" t="s">
        <v>1331</v>
      </c>
    </row>
    <row r="139" spans="1:7" ht="15.75">
      <c r="A139" s="1">
        <v>138</v>
      </c>
      <c r="B139" s="3" t="s">
        <v>1423</v>
      </c>
      <c r="C139" s="1" t="s">
        <v>1206</v>
      </c>
      <c r="D139" t="str">
        <f t="shared" si="5"/>
        <v>elytra-284</v>
      </c>
      <c r="E139" t="str">
        <f t="shared" si="4"/>
        <v>ROD-SF-elytra-284</v>
      </c>
      <c r="F139" s="10" t="s">
        <v>26</v>
      </c>
      <c r="G139" s="39" t="s">
        <v>1331</v>
      </c>
    </row>
    <row r="140" spans="1:7" ht="15.75">
      <c r="A140" s="1">
        <v>139</v>
      </c>
      <c r="B140" s="3" t="s">
        <v>1424</v>
      </c>
      <c r="C140" s="1" t="s">
        <v>1206</v>
      </c>
      <c r="D140" t="str">
        <f t="shared" si="5"/>
        <v>elytra-285</v>
      </c>
      <c r="E140" t="str">
        <f t="shared" si="4"/>
        <v>ROD-SF-elytra-285</v>
      </c>
      <c r="F140" s="10" t="s">
        <v>26</v>
      </c>
      <c r="G140" s="39" t="s">
        <v>1331</v>
      </c>
    </row>
    <row r="141" spans="1:7" ht="15.75">
      <c r="A141" s="1">
        <v>140</v>
      </c>
      <c r="B141" s="3" t="s">
        <v>1425</v>
      </c>
      <c r="C141" s="1" t="s">
        <v>1206</v>
      </c>
      <c r="D141" t="str">
        <f t="shared" si="5"/>
        <v>elytra-286</v>
      </c>
      <c r="E141" t="str">
        <f t="shared" si="4"/>
        <v>ROD-SF-elytra-286</v>
      </c>
      <c r="F141" s="10" t="s">
        <v>26</v>
      </c>
      <c r="G141" s="39" t="s">
        <v>1331</v>
      </c>
    </row>
    <row r="142" spans="1:7" ht="15.75">
      <c r="A142" s="1">
        <v>141</v>
      </c>
      <c r="B142" s="3" t="s">
        <v>1426</v>
      </c>
      <c r="C142" s="1" t="s">
        <v>1206</v>
      </c>
      <c r="D142" t="str">
        <f t="shared" si="5"/>
        <v>elytra-287</v>
      </c>
      <c r="E142" t="str">
        <f t="shared" si="4"/>
        <v>ROD-SF-elytra-287</v>
      </c>
      <c r="F142" s="10" t="s">
        <v>26</v>
      </c>
      <c r="G142" s="39" t="s">
        <v>1331</v>
      </c>
    </row>
    <row r="143" spans="1:7" ht="15.75">
      <c r="A143" s="1">
        <v>142</v>
      </c>
      <c r="B143" s="3" t="s">
        <v>1427</v>
      </c>
      <c r="C143" s="1" t="s">
        <v>1206</v>
      </c>
      <c r="D143" t="str">
        <f t="shared" si="5"/>
        <v>elytra-288</v>
      </c>
      <c r="E143" t="str">
        <f t="shared" si="4"/>
        <v>ROD-SF-elytra-288</v>
      </c>
      <c r="F143" s="10" t="s">
        <v>26</v>
      </c>
      <c r="G143" s="39" t="s">
        <v>1331</v>
      </c>
    </row>
    <row r="144" spans="1:7" ht="15.75">
      <c r="A144" s="1">
        <v>143</v>
      </c>
      <c r="B144" s="3" t="s">
        <v>1428</v>
      </c>
      <c r="C144" s="1" t="s">
        <v>1206</v>
      </c>
      <c r="D144" t="str">
        <f t="shared" si="5"/>
        <v>elytra-289</v>
      </c>
      <c r="E144" t="str">
        <f t="shared" si="4"/>
        <v>ROD-SF-elytra-289</v>
      </c>
      <c r="F144" s="10" t="s">
        <v>35</v>
      </c>
      <c r="G144" s="39" t="s">
        <v>1331</v>
      </c>
    </row>
    <row r="145" spans="1:7" ht="15.75">
      <c r="A145" s="1">
        <v>144</v>
      </c>
      <c r="B145" s="3" t="s">
        <v>1429</v>
      </c>
      <c r="C145" s="1" t="s">
        <v>1206</v>
      </c>
      <c r="D145" t="str">
        <f t="shared" si="5"/>
        <v>elytra-290</v>
      </c>
      <c r="E145" t="str">
        <f t="shared" si="4"/>
        <v>ROD-SF-elytra-290</v>
      </c>
      <c r="F145" s="10" t="s">
        <v>26</v>
      </c>
      <c r="G145" s="39" t="s">
        <v>1331</v>
      </c>
    </row>
    <row r="146" spans="1:7" ht="15.75">
      <c r="A146" s="1">
        <v>145</v>
      </c>
      <c r="B146" s="3" t="s">
        <v>1430</v>
      </c>
      <c r="C146" s="1" t="s">
        <v>1206</v>
      </c>
      <c r="D146" t="str">
        <f t="shared" si="5"/>
        <v>elytra-291</v>
      </c>
      <c r="E146" t="str">
        <f t="shared" si="4"/>
        <v>ROD-SF-elytra-291</v>
      </c>
      <c r="F146" s="10" t="s">
        <v>26</v>
      </c>
      <c r="G146" s="39" t="s">
        <v>1331</v>
      </c>
    </row>
    <row r="147" spans="1:7" ht="15.75">
      <c r="A147" s="1">
        <v>146</v>
      </c>
      <c r="B147" s="3" t="s">
        <v>1431</v>
      </c>
      <c r="C147" s="1" t="s">
        <v>1206</v>
      </c>
      <c r="D147" t="str">
        <f t="shared" si="5"/>
        <v>elytra-292</v>
      </c>
      <c r="E147" t="str">
        <f t="shared" si="4"/>
        <v>ROD-SF-elytra-292</v>
      </c>
      <c r="F147" s="10" t="s">
        <v>26</v>
      </c>
      <c r="G147" s="39" t="s">
        <v>1331</v>
      </c>
    </row>
    <row r="148" spans="1:7" ht="15.75">
      <c r="A148" s="1">
        <v>147</v>
      </c>
      <c r="B148" s="3" t="s">
        <v>1432</v>
      </c>
      <c r="C148" s="1" t="s">
        <v>1206</v>
      </c>
      <c r="D148" t="str">
        <f t="shared" si="5"/>
        <v>elytra-293</v>
      </c>
      <c r="E148" t="str">
        <f t="shared" si="4"/>
        <v>ROD-SF-elytra-293</v>
      </c>
      <c r="F148" s="10" t="s">
        <v>26</v>
      </c>
      <c r="G148" s="39" t="s">
        <v>1331</v>
      </c>
    </row>
    <row r="149" spans="1:7" ht="15.75">
      <c r="A149" s="1">
        <v>148</v>
      </c>
      <c r="B149" s="3" t="s">
        <v>1433</v>
      </c>
      <c r="C149" s="1" t="s">
        <v>1206</v>
      </c>
      <c r="D149" t="str">
        <f t="shared" si="5"/>
        <v>elytra-294</v>
      </c>
      <c r="E149" t="str">
        <f t="shared" si="4"/>
        <v>ROD-SF-elytra-294</v>
      </c>
      <c r="F149" s="10" t="s">
        <v>26</v>
      </c>
      <c r="G149" s="39" t="s">
        <v>1331</v>
      </c>
    </row>
    <row r="150" spans="1:7" ht="15.75">
      <c r="A150" s="1">
        <v>149</v>
      </c>
      <c r="B150" s="3" t="s">
        <v>1434</v>
      </c>
      <c r="C150" s="1" t="s">
        <v>1206</v>
      </c>
      <c r="D150" t="str">
        <f t="shared" si="5"/>
        <v>elytra-295</v>
      </c>
      <c r="E150" t="str">
        <f t="shared" si="4"/>
        <v>ROD-SF-elytra-295</v>
      </c>
      <c r="F150" s="10" t="s">
        <v>26</v>
      </c>
      <c r="G150" s="39" t="s">
        <v>1331</v>
      </c>
    </row>
    <row r="151" spans="1:7" ht="15.75">
      <c r="A151" s="1">
        <v>150</v>
      </c>
      <c r="B151" s="3" t="s">
        <v>1435</v>
      </c>
      <c r="C151" s="1" t="s">
        <v>1206</v>
      </c>
      <c r="D151" t="str">
        <f t="shared" si="5"/>
        <v>elytra-296</v>
      </c>
      <c r="E151" t="str">
        <f t="shared" si="4"/>
        <v>ROD-SF-elytra-296</v>
      </c>
      <c r="F151" s="10" t="s">
        <v>26</v>
      </c>
      <c r="G151" s="39" t="s">
        <v>1331</v>
      </c>
    </row>
    <row r="152" spans="1:7" ht="15.75">
      <c r="A152" s="1">
        <v>151</v>
      </c>
      <c r="B152" s="3" t="s">
        <v>1436</v>
      </c>
      <c r="C152" s="1" t="s">
        <v>1206</v>
      </c>
      <c r="D152" t="str">
        <f t="shared" si="5"/>
        <v>elytra-297</v>
      </c>
      <c r="E152" t="str">
        <f t="shared" si="4"/>
        <v>ROD-SF-elytra-297</v>
      </c>
      <c r="F152" s="10" t="s">
        <v>26</v>
      </c>
      <c r="G152" s="39" t="s">
        <v>1331</v>
      </c>
    </row>
    <row r="153" spans="1:7" ht="15.75">
      <c r="A153" s="1">
        <v>152</v>
      </c>
      <c r="B153" s="3" t="s">
        <v>1437</v>
      </c>
      <c r="C153" s="1" t="s">
        <v>1206</v>
      </c>
      <c r="D153" t="str">
        <f t="shared" si="5"/>
        <v>elytra-298</v>
      </c>
      <c r="E153" t="str">
        <f t="shared" si="4"/>
        <v>ROD-SF-elytra-298</v>
      </c>
      <c r="F153" s="10" t="s">
        <v>26</v>
      </c>
      <c r="G153" s="39" t="s">
        <v>1331</v>
      </c>
    </row>
    <row r="154" spans="1:7" ht="15.75">
      <c r="A154" s="1">
        <v>153</v>
      </c>
      <c r="B154" s="3" t="s">
        <v>1438</v>
      </c>
      <c r="C154" s="1" t="s">
        <v>1206</v>
      </c>
      <c r="D154" t="str">
        <f t="shared" si="5"/>
        <v>elytra-299</v>
      </c>
      <c r="E154" t="str">
        <f t="shared" si="4"/>
        <v>ROD-SF-elytra-299</v>
      </c>
      <c r="F154" s="10" t="s">
        <v>35</v>
      </c>
      <c r="G154" s="39" t="s">
        <v>1331</v>
      </c>
    </row>
    <row r="155" spans="1:7" ht="15.75">
      <c r="A155" s="1">
        <v>154</v>
      </c>
      <c r="B155" s="3" t="s">
        <v>1439</v>
      </c>
      <c r="C155" s="1" t="s">
        <v>1206</v>
      </c>
      <c r="D155" t="str">
        <f t="shared" si="5"/>
        <v>elytra-300</v>
      </c>
      <c r="E155" t="str">
        <f t="shared" si="4"/>
        <v>ROD-SF-elytra-300</v>
      </c>
      <c r="F155" s="10" t="s">
        <v>35</v>
      </c>
      <c r="G155" s="39" t="s">
        <v>1331</v>
      </c>
    </row>
    <row r="156" spans="1:7" ht="15.75">
      <c r="A156" s="1">
        <v>155</v>
      </c>
      <c r="B156" s="3" t="s">
        <v>1440</v>
      </c>
      <c r="C156" s="1" t="s">
        <v>1206</v>
      </c>
      <c r="D156" t="str">
        <f t="shared" si="5"/>
        <v>elytra-301</v>
      </c>
      <c r="E156" t="str">
        <f t="shared" si="4"/>
        <v>ROD-SF-elytra-301</v>
      </c>
      <c r="F156" s="10" t="s">
        <v>35</v>
      </c>
      <c r="G156" s="39" t="s">
        <v>1331</v>
      </c>
    </row>
    <row r="157" spans="1:7" ht="15.75">
      <c r="A157" s="1">
        <v>156</v>
      </c>
      <c r="B157" s="3" t="s">
        <v>1441</v>
      </c>
      <c r="C157" s="1" t="s">
        <v>1206</v>
      </c>
      <c r="D157" t="str">
        <f t="shared" si="5"/>
        <v>elytra-302</v>
      </c>
      <c r="E157" t="str">
        <f t="shared" si="4"/>
        <v>ROD-SF-elytra-302</v>
      </c>
      <c r="F157" s="10" t="s">
        <v>26</v>
      </c>
      <c r="G157" s="39" t="s">
        <v>1331</v>
      </c>
    </row>
    <row r="158" spans="1:7" ht="15.75">
      <c r="A158" s="1">
        <v>157</v>
      </c>
      <c r="B158" s="3" t="s">
        <v>1442</v>
      </c>
      <c r="C158" s="1" t="s">
        <v>1206</v>
      </c>
      <c r="D158" t="str">
        <f t="shared" si="5"/>
        <v>elytra-303</v>
      </c>
      <c r="E158" t="str">
        <f t="shared" si="4"/>
        <v>ROD-SF-elytra-303</v>
      </c>
      <c r="F158" s="10" t="s">
        <v>35</v>
      </c>
      <c r="G158" s="39" t="s">
        <v>1331</v>
      </c>
    </row>
    <row r="159" spans="1:7" ht="15.75">
      <c r="A159" s="1">
        <v>158</v>
      </c>
      <c r="B159" s="3" t="s">
        <v>1443</v>
      </c>
      <c r="C159" s="1" t="s">
        <v>1206</v>
      </c>
      <c r="D159" t="str">
        <f t="shared" si="5"/>
        <v>elytra-304</v>
      </c>
      <c r="E159" t="str">
        <f t="shared" si="4"/>
        <v>ROD-SF-elytra-304</v>
      </c>
      <c r="F159" s="10" t="s">
        <v>35</v>
      </c>
      <c r="G159" s="39" t="s">
        <v>1331</v>
      </c>
    </row>
    <row r="160" spans="1:7" ht="15.75">
      <c r="A160" s="1">
        <v>159</v>
      </c>
      <c r="B160" s="3" t="s">
        <v>1444</v>
      </c>
      <c r="C160" s="1" t="s">
        <v>1206</v>
      </c>
      <c r="D160" t="str">
        <f t="shared" si="5"/>
        <v>elytra-305</v>
      </c>
      <c r="E160" t="str">
        <f t="shared" si="4"/>
        <v>ROD-SF-elytra-305</v>
      </c>
      <c r="F160" s="10" t="s">
        <v>35</v>
      </c>
      <c r="G160" s="39" t="s">
        <v>1331</v>
      </c>
    </row>
    <row r="161" spans="1:7" ht="15.75">
      <c r="A161" s="1">
        <v>160</v>
      </c>
      <c r="B161" s="3" t="s">
        <v>1445</v>
      </c>
      <c r="C161" s="1" t="s">
        <v>1206</v>
      </c>
      <c r="D161" t="str">
        <f t="shared" si="5"/>
        <v>elytra-306</v>
      </c>
      <c r="E161" t="str">
        <f t="shared" si="4"/>
        <v>ROD-SF-elytra-306</v>
      </c>
      <c r="F161" s="10" t="s">
        <v>35</v>
      </c>
      <c r="G161" s="39" t="s">
        <v>1331</v>
      </c>
    </row>
    <row r="162" spans="1:7" ht="15.75">
      <c r="A162" s="1">
        <v>161</v>
      </c>
      <c r="B162" s="3" t="s">
        <v>1446</v>
      </c>
      <c r="C162" s="1" t="s">
        <v>1206</v>
      </c>
      <c r="D162" t="str">
        <f t="shared" si="5"/>
        <v>elytra-307</v>
      </c>
      <c r="E162" t="str">
        <f t="shared" si="4"/>
        <v>ROD-SF-elytra-307</v>
      </c>
      <c r="F162" s="10" t="s">
        <v>35</v>
      </c>
      <c r="G162" s="39" t="s">
        <v>1331</v>
      </c>
    </row>
    <row r="163" spans="1:7" ht="15.75">
      <c r="A163" s="1">
        <v>162</v>
      </c>
      <c r="B163" s="3" t="s">
        <v>1447</v>
      </c>
      <c r="C163" s="1" t="s">
        <v>1206</v>
      </c>
      <c r="D163" t="str">
        <f t="shared" si="5"/>
        <v>elytra-308</v>
      </c>
      <c r="E163" t="str">
        <f t="shared" si="4"/>
        <v>ROD-SF-elytra-308</v>
      </c>
      <c r="F163" s="10" t="s">
        <v>26</v>
      </c>
      <c r="G163" s="39" t="s">
        <v>1331</v>
      </c>
    </row>
    <row r="164" spans="1:7" ht="15.75">
      <c r="A164" s="1">
        <v>163</v>
      </c>
      <c r="B164" s="3" t="s">
        <v>1448</v>
      </c>
      <c r="C164" s="1" t="s">
        <v>1206</v>
      </c>
      <c r="D164" t="str">
        <f t="shared" si="5"/>
        <v>elytra-309</v>
      </c>
      <c r="E164" t="str">
        <f t="shared" si="4"/>
        <v>ROD-SF-elytra-309</v>
      </c>
      <c r="F164" s="10" t="s">
        <v>35</v>
      </c>
      <c r="G164" s="39" t="s">
        <v>1331</v>
      </c>
    </row>
    <row r="165" spans="1:7" ht="15.75">
      <c r="A165" s="1">
        <v>164</v>
      </c>
      <c r="B165" s="3" t="s">
        <v>1449</v>
      </c>
      <c r="C165" s="1" t="s">
        <v>1206</v>
      </c>
      <c r="D165" t="str">
        <f t="shared" ref="D165:D228" si="6">RIGHT(B165,10)</f>
        <v>elytra-310</v>
      </c>
      <c r="E165" t="str">
        <f t="shared" si="4"/>
        <v>ROD-SF-elytra-310</v>
      </c>
      <c r="F165" s="10" t="s">
        <v>35</v>
      </c>
      <c r="G165" s="39" t="s">
        <v>1331</v>
      </c>
    </row>
    <row r="166" spans="1:7" ht="15.75">
      <c r="A166" s="1">
        <v>165</v>
      </c>
      <c r="B166" s="3" t="s">
        <v>1450</v>
      </c>
      <c r="C166" s="1" t="s">
        <v>1206</v>
      </c>
      <c r="D166" t="str">
        <f t="shared" si="6"/>
        <v>elytra-311</v>
      </c>
      <c r="E166" t="str">
        <f t="shared" si="4"/>
        <v>ROD-SF-elytra-311</v>
      </c>
      <c r="F166" s="10" t="s">
        <v>26</v>
      </c>
      <c r="G166" s="39" t="s">
        <v>1331</v>
      </c>
    </row>
    <row r="167" spans="1:7" ht="15.75">
      <c r="A167" s="1">
        <v>166</v>
      </c>
      <c r="B167" s="3" t="s">
        <v>1451</v>
      </c>
      <c r="C167" s="1" t="s">
        <v>1206</v>
      </c>
      <c r="D167" t="str">
        <f t="shared" si="6"/>
        <v>elytra-312</v>
      </c>
      <c r="E167" t="str">
        <f t="shared" si="4"/>
        <v>ROD-SF-elytra-312</v>
      </c>
      <c r="F167" s="10" t="s">
        <v>35</v>
      </c>
      <c r="G167" s="39" t="s">
        <v>1331</v>
      </c>
    </row>
    <row r="168" spans="1:7" ht="15.75">
      <c r="A168" s="1">
        <v>167</v>
      </c>
      <c r="B168" s="3" t="s">
        <v>1452</v>
      </c>
      <c r="C168" s="1" t="s">
        <v>1206</v>
      </c>
      <c r="D168" t="str">
        <f t="shared" si="6"/>
        <v>elytra-313</v>
      </c>
      <c r="E168" t="str">
        <f t="shared" si="4"/>
        <v>ROD-SF-elytra-313</v>
      </c>
      <c r="F168" s="10" t="s">
        <v>26</v>
      </c>
      <c r="G168" s="39" t="s">
        <v>1331</v>
      </c>
    </row>
    <row r="169" spans="1:7" ht="15.75">
      <c r="A169" s="1">
        <v>168</v>
      </c>
      <c r="B169" s="3" t="s">
        <v>1453</v>
      </c>
      <c r="C169" s="1" t="s">
        <v>1206</v>
      </c>
      <c r="D169" t="str">
        <f t="shared" si="6"/>
        <v>elytra-314</v>
      </c>
      <c r="E169" t="str">
        <f t="shared" si="4"/>
        <v>ROD-SF-elytra-314</v>
      </c>
      <c r="F169" s="10" t="s">
        <v>26</v>
      </c>
      <c r="G169" s="39" t="s">
        <v>1331</v>
      </c>
    </row>
    <row r="170" spans="1:7" ht="15.75">
      <c r="A170" s="1">
        <v>169</v>
      </c>
      <c r="B170" s="3" t="s">
        <v>1454</v>
      </c>
      <c r="C170" s="1" t="s">
        <v>1206</v>
      </c>
      <c r="D170" t="str">
        <f t="shared" si="6"/>
        <v>elytra-315</v>
      </c>
      <c r="E170" t="str">
        <f t="shared" si="4"/>
        <v>ROD-SF-elytra-315</v>
      </c>
      <c r="F170" s="10" t="s">
        <v>35</v>
      </c>
      <c r="G170" s="39" t="s">
        <v>1331</v>
      </c>
    </row>
    <row r="171" spans="1:7" ht="15.75">
      <c r="A171" s="1">
        <v>170</v>
      </c>
      <c r="B171" s="3" t="s">
        <v>1455</v>
      </c>
      <c r="C171" s="1" t="s">
        <v>1206</v>
      </c>
      <c r="D171" t="str">
        <f t="shared" si="6"/>
        <v>elytra-316</v>
      </c>
      <c r="E171" t="str">
        <f t="shared" si="4"/>
        <v>ROD-SF-elytra-316</v>
      </c>
      <c r="F171" s="10" t="s">
        <v>35</v>
      </c>
      <c r="G171" s="39" t="s">
        <v>1331</v>
      </c>
    </row>
    <row r="172" spans="1:7" ht="15.75">
      <c r="A172" s="1">
        <v>171</v>
      </c>
      <c r="B172" s="3" t="s">
        <v>1456</v>
      </c>
      <c r="C172" s="1" t="s">
        <v>1206</v>
      </c>
      <c r="D172" t="str">
        <f t="shared" si="6"/>
        <v>elytra-317</v>
      </c>
      <c r="E172" t="str">
        <f t="shared" si="4"/>
        <v>ROD-SF-elytra-317</v>
      </c>
      <c r="F172" s="10" t="s">
        <v>35</v>
      </c>
      <c r="G172" s="39" t="s">
        <v>1331</v>
      </c>
    </row>
    <row r="173" spans="1:7" ht="15.75">
      <c r="A173" s="1">
        <v>172</v>
      </c>
      <c r="B173" s="3" t="s">
        <v>1457</v>
      </c>
      <c r="C173" s="1" t="s">
        <v>1206</v>
      </c>
      <c r="D173" t="str">
        <f t="shared" si="6"/>
        <v>elytra-318</v>
      </c>
      <c r="E173" t="str">
        <f t="shared" si="4"/>
        <v>ROD-SF-elytra-318</v>
      </c>
      <c r="F173" s="10" t="s">
        <v>35</v>
      </c>
      <c r="G173" s="39" t="s">
        <v>1331</v>
      </c>
    </row>
    <row r="174" spans="1:7" ht="15.75">
      <c r="A174" s="1">
        <v>173</v>
      </c>
      <c r="B174" s="3" t="s">
        <v>1458</v>
      </c>
      <c r="C174" s="1" t="s">
        <v>1206</v>
      </c>
      <c r="D174" t="str">
        <f t="shared" si="6"/>
        <v>elytra-319</v>
      </c>
      <c r="E174" t="str">
        <f t="shared" si="4"/>
        <v>ROD-SF-elytra-319</v>
      </c>
      <c r="F174" s="10" t="s">
        <v>35</v>
      </c>
      <c r="G174" s="39" t="s">
        <v>1331</v>
      </c>
    </row>
    <row r="175" spans="1:7" ht="15.75">
      <c r="A175" s="1">
        <v>174</v>
      </c>
      <c r="B175" s="3" t="s">
        <v>1459</v>
      </c>
      <c r="C175" s="1" t="s">
        <v>1206</v>
      </c>
      <c r="D175" t="str">
        <f t="shared" si="6"/>
        <v>elytra-320</v>
      </c>
      <c r="E175" t="str">
        <f t="shared" si="4"/>
        <v>ROD-SF-elytra-320</v>
      </c>
      <c r="F175" s="10" t="s">
        <v>35</v>
      </c>
      <c r="G175" s="39" t="s">
        <v>1331</v>
      </c>
    </row>
    <row r="176" spans="1:7" ht="15.75">
      <c r="A176" s="1">
        <v>175</v>
      </c>
      <c r="B176" s="3" t="s">
        <v>1460</v>
      </c>
      <c r="C176" s="1" t="s">
        <v>1206</v>
      </c>
      <c r="D176" t="str">
        <f t="shared" si="6"/>
        <v>elytra-321</v>
      </c>
      <c r="E176" t="str">
        <f t="shared" si="4"/>
        <v>ROD-SF-elytra-321</v>
      </c>
      <c r="F176" s="10" t="s">
        <v>65</v>
      </c>
      <c r="G176" s="39" t="s">
        <v>1331</v>
      </c>
    </row>
    <row r="177" spans="1:7" ht="15.75">
      <c r="A177" s="1">
        <v>176</v>
      </c>
      <c r="B177" s="3" t="s">
        <v>1461</v>
      </c>
      <c r="C177" s="1" t="s">
        <v>1206</v>
      </c>
      <c r="D177" t="str">
        <f t="shared" si="6"/>
        <v>elytra-322</v>
      </c>
      <c r="E177" t="str">
        <f t="shared" si="4"/>
        <v>ROD-SF-elytra-322</v>
      </c>
      <c r="F177" s="10" t="s">
        <v>26</v>
      </c>
      <c r="G177" s="39" t="s">
        <v>1331</v>
      </c>
    </row>
    <row r="178" spans="1:7" ht="15.75">
      <c r="A178" s="1">
        <v>177</v>
      </c>
      <c r="B178" s="3" t="s">
        <v>1462</v>
      </c>
      <c r="C178" s="1" t="s">
        <v>1206</v>
      </c>
      <c r="D178" t="str">
        <f t="shared" si="6"/>
        <v>elytra-323</v>
      </c>
      <c r="E178" t="str">
        <f t="shared" si="4"/>
        <v>ROD-SF-elytra-323</v>
      </c>
      <c r="F178" s="10" t="s">
        <v>26</v>
      </c>
      <c r="G178" s="39" t="s">
        <v>1331</v>
      </c>
    </row>
    <row r="179" spans="1:7" ht="15.75">
      <c r="A179" s="1">
        <v>178</v>
      </c>
      <c r="B179" s="3" t="s">
        <v>1463</v>
      </c>
      <c r="C179" s="1" t="s">
        <v>1206</v>
      </c>
      <c r="D179" t="str">
        <f t="shared" si="6"/>
        <v>elytra-324</v>
      </c>
      <c r="E179" t="str">
        <f t="shared" si="4"/>
        <v>ROD-SF-elytra-324</v>
      </c>
      <c r="F179" s="10" t="s">
        <v>35</v>
      </c>
      <c r="G179" s="39" t="s">
        <v>1331</v>
      </c>
    </row>
    <row r="180" spans="1:7" ht="15.75">
      <c r="A180" s="1">
        <v>179</v>
      </c>
      <c r="B180" s="3" t="s">
        <v>1464</v>
      </c>
      <c r="C180" s="1" t="s">
        <v>1206</v>
      </c>
      <c r="D180" t="str">
        <f t="shared" si="6"/>
        <v>elytra-325</v>
      </c>
      <c r="E180" t="str">
        <f t="shared" si="4"/>
        <v>ROD-SF-elytra-325</v>
      </c>
      <c r="F180" s="10" t="s">
        <v>35</v>
      </c>
      <c r="G180" s="39" t="s">
        <v>1331</v>
      </c>
    </row>
    <row r="181" spans="1:7" ht="15.75">
      <c r="A181" s="1">
        <v>180</v>
      </c>
      <c r="B181" s="3" t="s">
        <v>1465</v>
      </c>
      <c r="C181" s="1" t="s">
        <v>1206</v>
      </c>
      <c r="D181" t="str">
        <f t="shared" si="6"/>
        <v>elytra-326</v>
      </c>
      <c r="E181" t="str">
        <f t="shared" si="4"/>
        <v>ROD-SF-elytra-326</v>
      </c>
      <c r="F181" s="10" t="s">
        <v>26</v>
      </c>
      <c r="G181" s="39" t="s">
        <v>1331</v>
      </c>
    </row>
    <row r="182" spans="1:7" ht="15.75">
      <c r="A182" s="1">
        <v>181</v>
      </c>
      <c r="B182" s="3" t="s">
        <v>1466</v>
      </c>
      <c r="C182" s="1" t="s">
        <v>1206</v>
      </c>
      <c r="D182" t="str">
        <f t="shared" si="6"/>
        <v>elytra-327</v>
      </c>
      <c r="E182" t="str">
        <f t="shared" si="4"/>
        <v>ROD-SF-elytra-327</v>
      </c>
      <c r="F182" s="10" t="s">
        <v>65</v>
      </c>
      <c r="G182" s="39" t="s">
        <v>1331</v>
      </c>
    </row>
    <row r="183" spans="1:7" ht="15.75">
      <c r="A183" s="1">
        <v>182</v>
      </c>
      <c r="B183" s="3" t="s">
        <v>1467</v>
      </c>
      <c r="C183" s="1" t="s">
        <v>1206</v>
      </c>
      <c r="D183" t="str">
        <f t="shared" si="6"/>
        <v>elytra-328</v>
      </c>
      <c r="E183" t="str">
        <f t="shared" si="4"/>
        <v>ROD-SF-elytra-328</v>
      </c>
      <c r="F183" s="10" t="s">
        <v>35</v>
      </c>
      <c r="G183" s="39" t="s">
        <v>1331</v>
      </c>
    </row>
    <row r="184" spans="1:7" ht="15.75">
      <c r="A184" s="1">
        <v>183</v>
      </c>
      <c r="B184" s="3" t="s">
        <v>1468</v>
      </c>
      <c r="C184" s="1" t="s">
        <v>1206</v>
      </c>
      <c r="D184" t="str">
        <f t="shared" si="6"/>
        <v>elytra-329</v>
      </c>
      <c r="E184" t="str">
        <f t="shared" si="4"/>
        <v>ROD-SF-elytra-329</v>
      </c>
      <c r="F184" s="10" t="s">
        <v>35</v>
      </c>
      <c r="G184" s="39" t="s">
        <v>1331</v>
      </c>
    </row>
    <row r="185" spans="1:7" ht="15.75">
      <c r="A185" s="1">
        <v>184</v>
      </c>
      <c r="B185" s="3" t="s">
        <v>1469</v>
      </c>
      <c r="C185" s="1" t="s">
        <v>1206</v>
      </c>
      <c r="D185" t="str">
        <f t="shared" si="6"/>
        <v>elytra-330</v>
      </c>
      <c r="E185" t="str">
        <f t="shared" si="4"/>
        <v>ROD-SF-elytra-330</v>
      </c>
      <c r="F185" s="10" t="s">
        <v>35</v>
      </c>
      <c r="G185" s="39" t="s">
        <v>1331</v>
      </c>
    </row>
    <row r="186" spans="1:7" ht="15.75">
      <c r="A186" s="1">
        <v>185</v>
      </c>
      <c r="B186" s="3" t="s">
        <v>1470</v>
      </c>
      <c r="C186" s="1" t="s">
        <v>1206</v>
      </c>
      <c r="D186" t="str">
        <f t="shared" si="6"/>
        <v>elytra-331</v>
      </c>
      <c r="E186" t="str">
        <f t="shared" si="4"/>
        <v>ROD-SF-elytra-331</v>
      </c>
      <c r="F186" s="10" t="s">
        <v>35</v>
      </c>
      <c r="G186" s="39" t="s">
        <v>1331</v>
      </c>
    </row>
    <row r="187" spans="1:7" ht="15.75">
      <c r="A187" s="1">
        <v>186</v>
      </c>
      <c r="B187" s="3" t="s">
        <v>1471</v>
      </c>
      <c r="C187" s="1" t="s">
        <v>1206</v>
      </c>
      <c r="D187" t="str">
        <f t="shared" si="6"/>
        <v>elytra-332</v>
      </c>
      <c r="E187" t="str">
        <f t="shared" si="4"/>
        <v>ROD-SF-elytra-332</v>
      </c>
      <c r="F187" s="10" t="s">
        <v>35</v>
      </c>
      <c r="G187" s="39" t="s">
        <v>1331</v>
      </c>
    </row>
    <row r="188" spans="1:7" ht="15.75">
      <c r="A188" s="1">
        <v>187</v>
      </c>
      <c r="B188" s="3" t="s">
        <v>1472</v>
      </c>
      <c r="C188" s="1" t="s">
        <v>1206</v>
      </c>
      <c r="D188" t="str">
        <f t="shared" si="6"/>
        <v>elytra-333</v>
      </c>
      <c r="E188" t="str">
        <f t="shared" si="4"/>
        <v>ROD-SF-elytra-333</v>
      </c>
      <c r="F188" s="10" t="s">
        <v>35</v>
      </c>
      <c r="G188" s="39" t="s">
        <v>1331</v>
      </c>
    </row>
    <row r="189" spans="1:7" ht="15.75">
      <c r="A189" s="1">
        <v>188</v>
      </c>
      <c r="B189" s="3" t="s">
        <v>1473</v>
      </c>
      <c r="C189" s="1" t="s">
        <v>1206</v>
      </c>
      <c r="D189" t="str">
        <f t="shared" si="6"/>
        <v>elytra-334</v>
      </c>
      <c r="E189" t="str">
        <f t="shared" si="4"/>
        <v>ROD-SF-elytra-334</v>
      </c>
      <c r="F189" s="10" t="s">
        <v>35</v>
      </c>
      <c r="G189" s="39" t="s">
        <v>1331</v>
      </c>
    </row>
    <row r="190" spans="1:7" ht="15.75">
      <c r="A190" s="1">
        <v>189</v>
      </c>
      <c r="B190" s="3" t="s">
        <v>1474</v>
      </c>
      <c r="C190" s="1" t="s">
        <v>1206</v>
      </c>
      <c r="D190" t="str">
        <f t="shared" si="6"/>
        <v>elytra-335</v>
      </c>
      <c r="E190" t="str">
        <f t="shared" si="4"/>
        <v>ROD-SF-elytra-335</v>
      </c>
      <c r="F190" s="10" t="s">
        <v>35</v>
      </c>
      <c r="G190" s="39" t="s">
        <v>1331</v>
      </c>
    </row>
    <row r="191" spans="1:7" ht="15.75">
      <c r="A191" s="1">
        <v>190</v>
      </c>
      <c r="B191" s="3" t="s">
        <v>1475</v>
      </c>
      <c r="C191" s="1" t="s">
        <v>1206</v>
      </c>
      <c r="D191" t="str">
        <f t="shared" si="6"/>
        <v>elytra-336</v>
      </c>
      <c r="E191" t="str">
        <f t="shared" si="4"/>
        <v>ROD-SF-elytra-336</v>
      </c>
      <c r="F191" s="10" t="s">
        <v>26</v>
      </c>
      <c r="G191" s="39" t="s">
        <v>1331</v>
      </c>
    </row>
    <row r="192" spans="1:7" ht="15.75">
      <c r="A192" s="1">
        <v>191</v>
      </c>
      <c r="B192" s="3" t="s">
        <v>1476</v>
      </c>
      <c r="C192" s="1" t="s">
        <v>1206</v>
      </c>
      <c r="D192" t="str">
        <f t="shared" si="6"/>
        <v>elytra-337</v>
      </c>
      <c r="E192" t="str">
        <f t="shared" si="4"/>
        <v>ROD-SF-elytra-337</v>
      </c>
      <c r="F192" s="10" t="s">
        <v>26</v>
      </c>
      <c r="G192" s="39" t="s">
        <v>1331</v>
      </c>
    </row>
    <row r="193" spans="1:7" ht="15.75">
      <c r="A193" s="1">
        <v>192</v>
      </c>
      <c r="B193" s="3" t="s">
        <v>1477</v>
      </c>
      <c r="C193" s="1" t="s">
        <v>1206</v>
      </c>
      <c r="D193" t="str">
        <f t="shared" si="6"/>
        <v>elytra-338</v>
      </c>
      <c r="E193" t="str">
        <f t="shared" si="4"/>
        <v>ROD-SF-elytra-338</v>
      </c>
      <c r="F193" s="12" t="s">
        <v>35</v>
      </c>
      <c r="G193" s="39" t="s">
        <v>1331</v>
      </c>
    </row>
    <row r="194" spans="1:7" ht="15.75">
      <c r="A194" s="1">
        <v>193</v>
      </c>
      <c r="B194" s="3" t="s">
        <v>1478</v>
      </c>
      <c r="C194" s="1" t="s">
        <v>1206</v>
      </c>
      <c r="D194" t="str">
        <f t="shared" si="6"/>
        <v>elytra-339</v>
      </c>
      <c r="E194" t="str">
        <f t="shared" ref="E194:E204" si="7">C194&amp;D194</f>
        <v>ROD-SF-elytra-339</v>
      </c>
      <c r="F194" s="12" t="s">
        <v>35</v>
      </c>
      <c r="G194" s="39" t="s">
        <v>1331</v>
      </c>
    </row>
    <row r="195" spans="1:7" ht="15.75">
      <c r="A195" s="1">
        <v>194</v>
      </c>
      <c r="B195" s="3" t="s">
        <v>1479</v>
      </c>
      <c r="C195" s="1" t="s">
        <v>1206</v>
      </c>
      <c r="D195" t="str">
        <f t="shared" si="6"/>
        <v>elytra-340</v>
      </c>
      <c r="E195" t="str">
        <f t="shared" si="7"/>
        <v>ROD-SF-elytra-340</v>
      </c>
      <c r="F195" s="12" t="s">
        <v>35</v>
      </c>
      <c r="G195" s="39" t="s">
        <v>1331</v>
      </c>
    </row>
    <row r="196" spans="1:7" ht="15.75">
      <c r="A196" s="1">
        <v>195</v>
      </c>
      <c r="B196" s="3" t="s">
        <v>1480</v>
      </c>
      <c r="C196" s="1" t="s">
        <v>1206</v>
      </c>
      <c r="D196" t="str">
        <f t="shared" si="6"/>
        <v>elytra-341</v>
      </c>
      <c r="E196" t="str">
        <f t="shared" si="7"/>
        <v>ROD-SF-elytra-341</v>
      </c>
      <c r="F196" s="12" t="s">
        <v>35</v>
      </c>
      <c r="G196" s="39" t="s">
        <v>1331</v>
      </c>
    </row>
    <row r="197" spans="1:7" ht="15.75">
      <c r="A197" s="1">
        <v>196</v>
      </c>
      <c r="B197" s="3" t="s">
        <v>1481</v>
      </c>
      <c r="C197" s="1" t="s">
        <v>1206</v>
      </c>
      <c r="D197" t="str">
        <f t="shared" si="6"/>
        <v>elytra-342</v>
      </c>
      <c r="E197" t="str">
        <f t="shared" si="7"/>
        <v>ROD-SF-elytra-342</v>
      </c>
      <c r="F197" s="12" t="s">
        <v>35</v>
      </c>
      <c r="G197" s="39" t="s">
        <v>1331</v>
      </c>
    </row>
    <row r="198" spans="1:7" ht="15.75">
      <c r="A198" s="1">
        <v>197</v>
      </c>
      <c r="B198" s="3" t="s">
        <v>1482</v>
      </c>
      <c r="C198" s="1" t="s">
        <v>1206</v>
      </c>
      <c r="D198" t="str">
        <f t="shared" si="6"/>
        <v>elytra-343</v>
      </c>
      <c r="E198" t="str">
        <f t="shared" si="7"/>
        <v>ROD-SF-elytra-343</v>
      </c>
      <c r="F198" s="12" t="s">
        <v>35</v>
      </c>
      <c r="G198" s="39" t="s">
        <v>1331</v>
      </c>
    </row>
    <row r="199" spans="1:7" ht="15.75">
      <c r="A199" s="1">
        <v>198</v>
      </c>
      <c r="B199" s="3" t="s">
        <v>1483</v>
      </c>
      <c r="C199" s="1" t="s">
        <v>1206</v>
      </c>
      <c r="D199" t="str">
        <f t="shared" si="6"/>
        <v>elytra-344</v>
      </c>
      <c r="E199" t="str">
        <f t="shared" si="7"/>
        <v>ROD-SF-elytra-344</v>
      </c>
      <c r="F199" s="12" t="s">
        <v>35</v>
      </c>
      <c r="G199" s="39" t="s">
        <v>1331</v>
      </c>
    </row>
    <row r="200" spans="1:7" ht="15.75">
      <c r="A200" s="1">
        <v>199</v>
      </c>
      <c r="B200" s="3" t="s">
        <v>1484</v>
      </c>
      <c r="C200" s="1" t="s">
        <v>1206</v>
      </c>
      <c r="D200" t="str">
        <f t="shared" si="6"/>
        <v>elytra-345</v>
      </c>
      <c r="E200" t="str">
        <f t="shared" si="7"/>
        <v>ROD-SF-elytra-345</v>
      </c>
      <c r="F200" s="12" t="s">
        <v>35</v>
      </c>
      <c r="G200" s="39" t="s">
        <v>1331</v>
      </c>
    </row>
    <row r="201" spans="1:7" ht="15.75">
      <c r="A201" s="1">
        <v>200</v>
      </c>
      <c r="B201" s="3" t="s">
        <v>1485</v>
      </c>
      <c r="C201" s="1" t="s">
        <v>1206</v>
      </c>
      <c r="D201" t="str">
        <f t="shared" si="6"/>
        <v>elytra-346</v>
      </c>
      <c r="E201" t="str">
        <f t="shared" si="7"/>
        <v>ROD-SF-elytra-346</v>
      </c>
      <c r="F201" s="12" t="s">
        <v>35</v>
      </c>
      <c r="G201" s="39" t="s">
        <v>1331</v>
      </c>
    </row>
    <row r="202" spans="1:7" ht="15.75">
      <c r="A202" s="1">
        <v>201</v>
      </c>
      <c r="B202" s="3" t="s">
        <v>1486</v>
      </c>
      <c r="C202" s="1" t="s">
        <v>1206</v>
      </c>
      <c r="D202" t="str">
        <f t="shared" si="6"/>
        <v>elytra-347</v>
      </c>
      <c r="E202" t="str">
        <f t="shared" si="7"/>
        <v>ROD-SF-elytra-347</v>
      </c>
      <c r="F202" s="12" t="s">
        <v>35</v>
      </c>
      <c r="G202" s="39" t="s">
        <v>1331</v>
      </c>
    </row>
    <row r="203" spans="1:7" ht="15.75">
      <c r="A203" s="1">
        <v>202</v>
      </c>
      <c r="B203" s="3" t="s">
        <v>1487</v>
      </c>
      <c r="C203" s="1" t="s">
        <v>1206</v>
      </c>
      <c r="D203" t="str">
        <f t="shared" si="6"/>
        <v>elytra-348</v>
      </c>
      <c r="E203" t="str">
        <f t="shared" si="7"/>
        <v>ROD-SF-elytra-348</v>
      </c>
      <c r="F203" s="12" t="s">
        <v>35</v>
      </c>
      <c r="G203" s="39" t="s">
        <v>1331</v>
      </c>
    </row>
    <row r="204" spans="1:7" ht="15.75">
      <c r="A204" s="1">
        <v>203</v>
      </c>
      <c r="B204" s="3" t="s">
        <v>1488</v>
      </c>
      <c r="C204" s="1" t="s">
        <v>1206</v>
      </c>
      <c r="D204" t="str">
        <f t="shared" si="6"/>
        <v>elytra-349</v>
      </c>
      <c r="E204" t="str">
        <f t="shared" si="7"/>
        <v>ROD-SF-elytra-349</v>
      </c>
      <c r="F204" s="12" t="s">
        <v>65</v>
      </c>
      <c r="G204" s="39" t="s">
        <v>1331</v>
      </c>
    </row>
    <row r="205" spans="1:7" ht="15.75">
      <c r="A205" s="1">
        <v>204</v>
      </c>
      <c r="B205" s="3" t="s">
        <v>1489</v>
      </c>
      <c r="C205" s="1" t="s">
        <v>1206</v>
      </c>
      <c r="D205" t="str">
        <f t="shared" si="6"/>
        <v>elytra-350</v>
      </c>
      <c r="E205" t="str">
        <f>C205&amp;D205</f>
        <v>ROD-SF-elytra-350</v>
      </c>
      <c r="F205" s="12" t="s">
        <v>26</v>
      </c>
      <c r="G205" s="39" t="s">
        <v>1331</v>
      </c>
    </row>
    <row r="206" spans="1:7" ht="15.75">
      <c r="A206" s="1">
        <v>205</v>
      </c>
      <c r="B206" s="3" t="s">
        <v>1490</v>
      </c>
      <c r="C206" s="1" t="s">
        <v>1206</v>
      </c>
      <c r="D206" t="str">
        <f t="shared" si="6"/>
        <v>elytra-351</v>
      </c>
      <c r="E206" t="str">
        <f t="shared" ref="E206:E269" si="8">C206&amp;D206</f>
        <v>ROD-SF-elytra-351</v>
      </c>
      <c r="F206" s="12" t="s">
        <v>26</v>
      </c>
      <c r="G206" s="39" t="s">
        <v>1331</v>
      </c>
    </row>
    <row r="207" spans="1:7" ht="15.75">
      <c r="A207" s="1">
        <v>206</v>
      </c>
      <c r="B207" s="3" t="s">
        <v>1491</v>
      </c>
      <c r="C207" s="1" t="s">
        <v>1206</v>
      </c>
      <c r="D207" t="str">
        <f t="shared" si="6"/>
        <v>elytra-352</v>
      </c>
      <c r="E207" t="str">
        <f t="shared" si="8"/>
        <v>ROD-SF-elytra-352</v>
      </c>
      <c r="F207" s="12" t="s">
        <v>35</v>
      </c>
      <c r="G207" s="39" t="s">
        <v>1331</v>
      </c>
    </row>
    <row r="208" spans="1:7" ht="15.75">
      <c r="A208" s="1">
        <v>207</v>
      </c>
      <c r="B208" s="3" t="s">
        <v>1492</v>
      </c>
      <c r="C208" s="1" t="s">
        <v>1206</v>
      </c>
      <c r="D208" t="str">
        <f t="shared" si="6"/>
        <v>elytra-353</v>
      </c>
      <c r="E208" t="str">
        <f t="shared" si="8"/>
        <v>ROD-SF-elytra-353</v>
      </c>
      <c r="F208" s="12" t="s">
        <v>35</v>
      </c>
      <c r="G208" s="39" t="s">
        <v>1331</v>
      </c>
    </row>
    <row r="209" spans="1:7" ht="15.75">
      <c r="A209" s="1">
        <v>208</v>
      </c>
      <c r="B209" s="3" t="s">
        <v>1493</v>
      </c>
      <c r="C209" s="1" t="s">
        <v>1206</v>
      </c>
      <c r="D209" t="str">
        <f t="shared" si="6"/>
        <v>elytra-354</v>
      </c>
      <c r="E209" t="str">
        <f t="shared" si="8"/>
        <v>ROD-SF-elytra-354</v>
      </c>
      <c r="F209" s="12" t="s">
        <v>26</v>
      </c>
      <c r="G209" s="39" t="s">
        <v>1331</v>
      </c>
    </row>
    <row r="210" spans="1:7" ht="15.75">
      <c r="A210" s="1">
        <v>209</v>
      </c>
      <c r="B210" s="3" t="s">
        <v>1494</v>
      </c>
      <c r="C210" s="1" t="s">
        <v>1206</v>
      </c>
      <c r="D210" t="str">
        <f t="shared" si="6"/>
        <v>elytra-355</v>
      </c>
      <c r="E210" t="str">
        <f t="shared" si="8"/>
        <v>ROD-SF-elytra-355</v>
      </c>
      <c r="F210" s="12" t="s">
        <v>26</v>
      </c>
      <c r="G210" s="39" t="s">
        <v>1331</v>
      </c>
    </row>
    <row r="211" spans="1:7" ht="15.75">
      <c r="A211" s="1">
        <v>210</v>
      </c>
      <c r="B211" s="3" t="s">
        <v>1495</v>
      </c>
      <c r="C211" s="1" t="s">
        <v>1206</v>
      </c>
      <c r="D211" t="str">
        <f t="shared" si="6"/>
        <v>elytra-356</v>
      </c>
      <c r="E211" t="str">
        <f t="shared" si="8"/>
        <v>ROD-SF-elytra-356</v>
      </c>
      <c r="F211" s="12" t="s">
        <v>35</v>
      </c>
      <c r="G211" s="39" t="s">
        <v>1331</v>
      </c>
    </row>
    <row r="212" spans="1:7" ht="15.75">
      <c r="A212" s="1">
        <v>211</v>
      </c>
      <c r="B212" s="3" t="s">
        <v>1496</v>
      </c>
      <c r="C212" s="1" t="s">
        <v>1206</v>
      </c>
      <c r="D212" t="str">
        <f t="shared" si="6"/>
        <v>elytra-357</v>
      </c>
      <c r="E212" t="str">
        <f t="shared" si="8"/>
        <v>ROD-SF-elytra-357</v>
      </c>
      <c r="F212" s="12" t="s">
        <v>35</v>
      </c>
      <c r="G212" s="39" t="s">
        <v>1331</v>
      </c>
    </row>
    <row r="213" spans="1:7" ht="15.75">
      <c r="A213" s="1">
        <v>212</v>
      </c>
      <c r="B213" s="3" t="s">
        <v>1497</v>
      </c>
      <c r="C213" s="1" t="s">
        <v>1206</v>
      </c>
      <c r="D213" t="str">
        <f t="shared" si="6"/>
        <v>elytra-358</v>
      </c>
      <c r="E213" t="str">
        <f t="shared" si="8"/>
        <v>ROD-SF-elytra-358</v>
      </c>
      <c r="F213" s="10" t="s">
        <v>26</v>
      </c>
      <c r="G213" s="39" t="s">
        <v>1331</v>
      </c>
    </row>
    <row r="214" spans="1:7" ht="15.75">
      <c r="A214" s="1">
        <v>213</v>
      </c>
      <c r="B214" s="3" t="s">
        <v>1498</v>
      </c>
      <c r="C214" s="1" t="s">
        <v>1206</v>
      </c>
      <c r="D214" t="str">
        <f t="shared" si="6"/>
        <v>elytra-359</v>
      </c>
      <c r="E214" t="str">
        <f t="shared" si="8"/>
        <v>ROD-SF-elytra-359</v>
      </c>
      <c r="F214" s="10" t="s">
        <v>35</v>
      </c>
      <c r="G214" s="39" t="s">
        <v>1331</v>
      </c>
    </row>
    <row r="215" spans="1:7" ht="15.75">
      <c r="A215" s="1">
        <v>214</v>
      </c>
      <c r="B215" s="3" t="s">
        <v>1499</v>
      </c>
      <c r="C215" s="1" t="s">
        <v>1206</v>
      </c>
      <c r="D215" t="str">
        <f t="shared" si="6"/>
        <v>elytra-360</v>
      </c>
      <c r="E215" t="str">
        <f t="shared" si="8"/>
        <v>ROD-SF-elytra-360</v>
      </c>
      <c r="F215" s="10" t="s">
        <v>35</v>
      </c>
      <c r="G215" s="39" t="s">
        <v>1331</v>
      </c>
    </row>
    <row r="216" spans="1:7" ht="15.75">
      <c r="A216" s="1">
        <v>215</v>
      </c>
      <c r="B216" s="3" t="s">
        <v>1500</v>
      </c>
      <c r="C216" s="1" t="s">
        <v>1206</v>
      </c>
      <c r="D216" t="str">
        <f t="shared" si="6"/>
        <v>elytra-361</v>
      </c>
      <c r="E216" t="str">
        <f t="shared" si="8"/>
        <v>ROD-SF-elytra-361</v>
      </c>
      <c r="F216" s="10" t="s">
        <v>35</v>
      </c>
      <c r="G216" s="39" t="s">
        <v>1331</v>
      </c>
    </row>
    <row r="217" spans="1:7" ht="15.75">
      <c r="A217" s="1">
        <v>216</v>
      </c>
      <c r="B217" s="3" t="s">
        <v>1501</v>
      </c>
      <c r="C217" s="1" t="s">
        <v>1206</v>
      </c>
      <c r="D217" t="str">
        <f t="shared" si="6"/>
        <v>elytra-362</v>
      </c>
      <c r="E217" t="str">
        <f t="shared" si="8"/>
        <v>ROD-SF-elytra-362</v>
      </c>
      <c r="F217" s="10" t="s">
        <v>26</v>
      </c>
      <c r="G217" s="39" t="s">
        <v>1331</v>
      </c>
    </row>
    <row r="218" spans="1:7" ht="15.75">
      <c r="A218" s="1">
        <v>217</v>
      </c>
      <c r="B218" s="3" t="s">
        <v>1502</v>
      </c>
      <c r="C218" s="1" t="s">
        <v>1206</v>
      </c>
      <c r="D218" t="str">
        <f t="shared" si="6"/>
        <v>elytra-363</v>
      </c>
      <c r="E218" t="str">
        <f t="shared" si="8"/>
        <v>ROD-SF-elytra-363</v>
      </c>
      <c r="F218" s="10" t="s">
        <v>26</v>
      </c>
      <c r="G218" s="39" t="s">
        <v>1331</v>
      </c>
    </row>
    <row r="219" spans="1:7" ht="15.75">
      <c r="A219" s="1">
        <v>218</v>
      </c>
      <c r="B219" s="3" t="s">
        <v>1503</v>
      </c>
      <c r="C219" s="1" t="s">
        <v>1206</v>
      </c>
      <c r="D219" t="str">
        <f t="shared" si="6"/>
        <v>elytra-364</v>
      </c>
      <c r="E219" t="str">
        <f t="shared" si="8"/>
        <v>ROD-SF-elytra-364</v>
      </c>
      <c r="F219" s="10" t="s">
        <v>26</v>
      </c>
      <c r="G219" s="39" t="s">
        <v>1331</v>
      </c>
    </row>
    <row r="220" spans="1:7" ht="15.75">
      <c r="A220" s="1">
        <v>219</v>
      </c>
      <c r="B220" s="3" t="s">
        <v>1504</v>
      </c>
      <c r="C220" s="1" t="s">
        <v>1206</v>
      </c>
      <c r="D220" t="str">
        <f t="shared" si="6"/>
        <v>elytra-365</v>
      </c>
      <c r="E220" t="str">
        <f t="shared" si="8"/>
        <v>ROD-SF-elytra-365</v>
      </c>
      <c r="F220" s="10" t="s">
        <v>26</v>
      </c>
      <c r="G220" s="39" t="s">
        <v>1331</v>
      </c>
    </row>
    <row r="221" spans="1:7" ht="15.75">
      <c r="A221" s="1">
        <v>220</v>
      </c>
      <c r="B221" s="3" t="s">
        <v>1505</v>
      </c>
      <c r="C221" s="1" t="s">
        <v>1206</v>
      </c>
      <c r="D221" t="str">
        <f t="shared" si="6"/>
        <v>elytra-366</v>
      </c>
      <c r="E221" t="str">
        <f t="shared" si="8"/>
        <v>ROD-SF-elytra-366</v>
      </c>
      <c r="F221" s="10" t="s">
        <v>35</v>
      </c>
      <c r="G221" s="39" t="s">
        <v>1331</v>
      </c>
    </row>
    <row r="222" spans="1:7" ht="15.75">
      <c r="A222" s="1">
        <v>221</v>
      </c>
      <c r="B222" s="3" t="s">
        <v>1506</v>
      </c>
      <c r="C222" s="1" t="s">
        <v>1206</v>
      </c>
      <c r="D222" t="str">
        <f t="shared" si="6"/>
        <v>elytra-367</v>
      </c>
      <c r="E222" t="str">
        <f t="shared" si="8"/>
        <v>ROD-SF-elytra-367</v>
      </c>
      <c r="F222" s="10" t="s">
        <v>26</v>
      </c>
      <c r="G222" s="39" t="s">
        <v>1331</v>
      </c>
    </row>
    <row r="223" spans="1:7" ht="15.75">
      <c r="A223" s="1">
        <v>222</v>
      </c>
      <c r="B223" s="3" t="s">
        <v>1507</v>
      </c>
      <c r="C223" s="1" t="s">
        <v>1206</v>
      </c>
      <c r="D223" t="str">
        <f t="shared" si="6"/>
        <v>elytra-368</v>
      </c>
      <c r="E223" t="str">
        <f t="shared" si="8"/>
        <v>ROD-SF-elytra-368</v>
      </c>
      <c r="F223" s="10" t="s">
        <v>35</v>
      </c>
      <c r="G223" s="39" t="s">
        <v>1331</v>
      </c>
    </row>
    <row r="224" spans="1:7" ht="15.75">
      <c r="A224" s="1">
        <v>223</v>
      </c>
      <c r="B224" s="3" t="s">
        <v>1508</v>
      </c>
      <c r="C224" s="1" t="s">
        <v>1206</v>
      </c>
      <c r="D224" t="str">
        <f t="shared" si="6"/>
        <v>elytra-369</v>
      </c>
      <c r="E224" t="str">
        <f t="shared" si="8"/>
        <v>ROD-SF-elytra-369</v>
      </c>
      <c r="F224" s="10" t="s">
        <v>35</v>
      </c>
      <c r="G224" s="39" t="s">
        <v>1331</v>
      </c>
    </row>
    <row r="225" spans="1:7" ht="15.75">
      <c r="A225" s="1">
        <v>224</v>
      </c>
      <c r="B225" s="3" t="s">
        <v>1509</v>
      </c>
      <c r="C225" s="1" t="s">
        <v>1206</v>
      </c>
      <c r="D225" t="str">
        <f t="shared" si="6"/>
        <v>elytra-370</v>
      </c>
      <c r="E225" t="str">
        <f t="shared" si="8"/>
        <v>ROD-SF-elytra-370</v>
      </c>
      <c r="F225" s="10" t="s">
        <v>35</v>
      </c>
      <c r="G225" s="39" t="s">
        <v>1331</v>
      </c>
    </row>
    <row r="226" spans="1:7" ht="15.75">
      <c r="A226" s="1">
        <v>225</v>
      </c>
      <c r="B226" s="3" t="s">
        <v>1510</v>
      </c>
      <c r="C226" s="1" t="s">
        <v>1206</v>
      </c>
      <c r="D226" t="str">
        <f t="shared" si="6"/>
        <v>elytra-371</v>
      </c>
      <c r="E226" t="str">
        <f t="shared" si="8"/>
        <v>ROD-SF-elytra-371</v>
      </c>
      <c r="F226" s="10" t="s">
        <v>26</v>
      </c>
      <c r="G226" s="39" t="s">
        <v>1331</v>
      </c>
    </row>
    <row r="227" spans="1:7" ht="15.75">
      <c r="A227" s="1">
        <v>226</v>
      </c>
      <c r="B227" s="3" t="s">
        <v>1511</v>
      </c>
      <c r="C227" s="1" t="s">
        <v>1206</v>
      </c>
      <c r="D227" t="str">
        <f t="shared" si="6"/>
        <v>elytra-372</v>
      </c>
      <c r="E227" t="str">
        <f t="shared" si="8"/>
        <v>ROD-SF-elytra-372</v>
      </c>
      <c r="F227" s="10" t="s">
        <v>26</v>
      </c>
      <c r="G227" s="39" t="s">
        <v>1331</v>
      </c>
    </row>
    <row r="228" spans="1:7" ht="15.75">
      <c r="A228" s="1">
        <v>227</v>
      </c>
      <c r="B228" s="3" t="s">
        <v>1512</v>
      </c>
      <c r="C228" s="1" t="s">
        <v>1206</v>
      </c>
      <c r="D228" t="str">
        <f t="shared" si="6"/>
        <v>elytra-373</v>
      </c>
      <c r="E228" t="str">
        <f t="shared" si="8"/>
        <v>ROD-SF-elytra-373</v>
      </c>
      <c r="F228" s="10" t="s">
        <v>26</v>
      </c>
      <c r="G228" s="39" t="s">
        <v>1331</v>
      </c>
    </row>
    <row r="229" spans="1:7" ht="15.75">
      <c r="A229" s="1">
        <v>228</v>
      </c>
      <c r="B229" s="3" t="s">
        <v>1513</v>
      </c>
      <c r="C229" s="1" t="s">
        <v>1206</v>
      </c>
      <c r="D229" t="str">
        <f t="shared" ref="D229:D292" si="9">RIGHT(B229,10)</f>
        <v>elytra-374</v>
      </c>
      <c r="E229" t="str">
        <f t="shared" si="8"/>
        <v>ROD-SF-elytra-374</v>
      </c>
      <c r="F229" s="10" t="s">
        <v>35</v>
      </c>
      <c r="G229" s="39" t="s">
        <v>1331</v>
      </c>
    </row>
    <row r="230" spans="1:7" ht="15.75">
      <c r="A230" s="1">
        <v>229</v>
      </c>
      <c r="B230" s="3" t="s">
        <v>1514</v>
      </c>
      <c r="C230" s="1" t="s">
        <v>1206</v>
      </c>
      <c r="D230" t="str">
        <f t="shared" si="9"/>
        <v>elytra-375</v>
      </c>
      <c r="E230" t="str">
        <f t="shared" si="8"/>
        <v>ROD-SF-elytra-375</v>
      </c>
      <c r="F230" s="10" t="s">
        <v>35</v>
      </c>
      <c r="G230" s="39" t="s">
        <v>1331</v>
      </c>
    </row>
    <row r="231" spans="1:7" ht="15.75">
      <c r="A231" s="1">
        <v>230</v>
      </c>
      <c r="B231" s="3" t="s">
        <v>1515</v>
      </c>
      <c r="C231" s="1" t="s">
        <v>1206</v>
      </c>
      <c r="D231" t="str">
        <f t="shared" si="9"/>
        <v>elytra-376</v>
      </c>
      <c r="E231" t="str">
        <f t="shared" si="8"/>
        <v>ROD-SF-elytra-376</v>
      </c>
      <c r="F231" s="10" t="s">
        <v>26</v>
      </c>
      <c r="G231" s="39" t="s">
        <v>1331</v>
      </c>
    </row>
    <row r="232" spans="1:7" ht="15.75">
      <c r="A232" s="1">
        <v>231</v>
      </c>
      <c r="B232" s="3" t="s">
        <v>1516</v>
      </c>
      <c r="C232" s="1" t="s">
        <v>1206</v>
      </c>
      <c r="D232" t="str">
        <f t="shared" si="9"/>
        <v>elytra-377</v>
      </c>
      <c r="E232" t="str">
        <f t="shared" si="8"/>
        <v>ROD-SF-elytra-377</v>
      </c>
      <c r="F232" s="10" t="s">
        <v>35</v>
      </c>
      <c r="G232" s="39" t="s">
        <v>1331</v>
      </c>
    </row>
    <row r="233" spans="1:7" ht="15.75">
      <c r="A233" s="1">
        <v>232</v>
      </c>
      <c r="B233" s="3" t="s">
        <v>1517</v>
      </c>
      <c r="C233" s="1" t="s">
        <v>1206</v>
      </c>
      <c r="D233" t="str">
        <f t="shared" si="9"/>
        <v>elytra-378</v>
      </c>
      <c r="E233" t="str">
        <f t="shared" si="8"/>
        <v>ROD-SF-elytra-378</v>
      </c>
      <c r="F233" s="10" t="s">
        <v>26</v>
      </c>
      <c r="G233" s="39" t="s">
        <v>1331</v>
      </c>
    </row>
    <row r="234" spans="1:7" ht="15.75">
      <c r="A234" s="1">
        <v>233</v>
      </c>
      <c r="B234" s="3" t="s">
        <v>1518</v>
      </c>
      <c r="C234" s="1" t="s">
        <v>1206</v>
      </c>
      <c r="D234" t="str">
        <f t="shared" si="9"/>
        <v>elytra-379</v>
      </c>
      <c r="E234" t="str">
        <f t="shared" si="8"/>
        <v>ROD-SF-elytra-379</v>
      </c>
      <c r="F234" s="10" t="s">
        <v>35</v>
      </c>
      <c r="G234" s="39" t="s">
        <v>1331</v>
      </c>
    </row>
    <row r="235" spans="1:7" ht="15.75">
      <c r="A235" s="1">
        <v>234</v>
      </c>
      <c r="B235" s="3" t="s">
        <v>1519</v>
      </c>
      <c r="C235" s="1" t="s">
        <v>1206</v>
      </c>
      <c r="D235" t="str">
        <f t="shared" si="9"/>
        <v>elytra-380</v>
      </c>
      <c r="E235" t="str">
        <f t="shared" si="8"/>
        <v>ROD-SF-elytra-380</v>
      </c>
      <c r="F235" s="10" t="s">
        <v>35</v>
      </c>
      <c r="G235" s="39" t="s">
        <v>1331</v>
      </c>
    </row>
    <row r="236" spans="1:7" ht="15.75">
      <c r="A236" s="1">
        <v>235</v>
      </c>
      <c r="B236" s="3" t="s">
        <v>1520</v>
      </c>
      <c r="C236" s="1" t="s">
        <v>1206</v>
      </c>
      <c r="D236" t="str">
        <f t="shared" si="9"/>
        <v>elytra-381</v>
      </c>
      <c r="E236" t="str">
        <f t="shared" si="8"/>
        <v>ROD-SF-elytra-381</v>
      </c>
      <c r="F236" s="10" t="s">
        <v>35</v>
      </c>
      <c r="G236" s="39" t="s">
        <v>1331</v>
      </c>
    </row>
    <row r="237" spans="1:7" ht="15.75">
      <c r="A237" s="1">
        <v>236</v>
      </c>
      <c r="B237" s="3" t="s">
        <v>1521</v>
      </c>
      <c r="C237" s="1" t="s">
        <v>1206</v>
      </c>
      <c r="D237" t="str">
        <f t="shared" si="9"/>
        <v>elytra-382</v>
      </c>
      <c r="E237" t="str">
        <f t="shared" si="8"/>
        <v>ROD-SF-elytra-382</v>
      </c>
      <c r="F237" s="10" t="s">
        <v>26</v>
      </c>
      <c r="G237" s="39" t="s">
        <v>1331</v>
      </c>
    </row>
    <row r="238" spans="1:7" ht="15.75">
      <c r="A238" s="1">
        <v>237</v>
      </c>
      <c r="B238" s="3" t="s">
        <v>1522</v>
      </c>
      <c r="C238" s="1" t="s">
        <v>1206</v>
      </c>
      <c r="D238" t="str">
        <f t="shared" si="9"/>
        <v>elytra-383</v>
      </c>
      <c r="E238" t="str">
        <f t="shared" si="8"/>
        <v>ROD-SF-elytra-383</v>
      </c>
      <c r="F238" s="10" t="s">
        <v>35</v>
      </c>
      <c r="G238" s="39" t="s">
        <v>1331</v>
      </c>
    </row>
    <row r="239" spans="1:7" ht="15.75">
      <c r="A239" s="1">
        <v>238</v>
      </c>
      <c r="B239" s="3" t="s">
        <v>1523</v>
      </c>
      <c r="C239" s="1" t="s">
        <v>1206</v>
      </c>
      <c r="D239" t="str">
        <f t="shared" si="9"/>
        <v>elytra-384</v>
      </c>
      <c r="E239" t="str">
        <f t="shared" si="8"/>
        <v>ROD-SF-elytra-384</v>
      </c>
      <c r="F239" s="10" t="s">
        <v>35</v>
      </c>
      <c r="G239" s="39" t="s">
        <v>1331</v>
      </c>
    </row>
    <row r="240" spans="1:7" ht="15.75">
      <c r="A240" s="1">
        <v>239</v>
      </c>
      <c r="B240" s="3" t="s">
        <v>1524</v>
      </c>
      <c r="C240" s="1" t="s">
        <v>1206</v>
      </c>
      <c r="D240" t="str">
        <f t="shared" si="9"/>
        <v>elytra-385</v>
      </c>
      <c r="E240" t="str">
        <f t="shared" si="8"/>
        <v>ROD-SF-elytra-385</v>
      </c>
      <c r="F240" s="10" t="s">
        <v>35</v>
      </c>
      <c r="G240" s="39" t="s">
        <v>1331</v>
      </c>
    </row>
    <row r="241" spans="1:7" ht="15.75">
      <c r="A241" s="1">
        <v>240</v>
      </c>
      <c r="B241" s="3" t="s">
        <v>1525</v>
      </c>
      <c r="C241" s="1" t="s">
        <v>1206</v>
      </c>
      <c r="D241" t="str">
        <f t="shared" si="9"/>
        <v>elytra-386</v>
      </c>
      <c r="E241" t="str">
        <f t="shared" si="8"/>
        <v>ROD-SF-elytra-386</v>
      </c>
      <c r="F241" s="10" t="s">
        <v>35</v>
      </c>
      <c r="G241" s="39" t="s">
        <v>1331</v>
      </c>
    </row>
    <row r="242" spans="1:7" ht="15.75">
      <c r="A242" s="1">
        <v>241</v>
      </c>
      <c r="B242" s="3" t="s">
        <v>1526</v>
      </c>
      <c r="C242" s="1" t="s">
        <v>1206</v>
      </c>
      <c r="D242" t="str">
        <f t="shared" si="9"/>
        <v>elytra-387</v>
      </c>
      <c r="E242" t="str">
        <f t="shared" si="8"/>
        <v>ROD-SF-elytra-387</v>
      </c>
      <c r="F242" s="10" t="s">
        <v>35</v>
      </c>
      <c r="G242" s="39" t="s">
        <v>1331</v>
      </c>
    </row>
    <row r="243" spans="1:7" ht="15.75">
      <c r="A243" s="1">
        <v>242</v>
      </c>
      <c r="B243" s="3" t="s">
        <v>1527</v>
      </c>
      <c r="C243" s="1" t="s">
        <v>1206</v>
      </c>
      <c r="D243" t="str">
        <f t="shared" si="9"/>
        <v>elytra-388</v>
      </c>
      <c r="E243" t="str">
        <f t="shared" si="8"/>
        <v>ROD-SF-elytra-388</v>
      </c>
      <c r="F243" s="10" t="s">
        <v>35</v>
      </c>
      <c r="G243" s="39" t="s">
        <v>1331</v>
      </c>
    </row>
    <row r="244" spans="1:7" ht="15.75">
      <c r="A244" s="1">
        <v>243</v>
      </c>
      <c r="B244" s="3" t="s">
        <v>1528</v>
      </c>
      <c r="C244" s="1" t="s">
        <v>1206</v>
      </c>
      <c r="D244" t="str">
        <f t="shared" si="9"/>
        <v>elytra-389</v>
      </c>
      <c r="E244" t="str">
        <f t="shared" si="8"/>
        <v>ROD-SF-elytra-389</v>
      </c>
      <c r="F244" s="10" t="s">
        <v>26</v>
      </c>
      <c r="G244" s="39" t="s">
        <v>1331</v>
      </c>
    </row>
    <row r="245" spans="1:7" ht="15.75">
      <c r="A245" s="1">
        <v>244</v>
      </c>
      <c r="B245" s="3" t="s">
        <v>1529</v>
      </c>
      <c r="C245" s="1" t="s">
        <v>1206</v>
      </c>
      <c r="D245" t="str">
        <f t="shared" si="9"/>
        <v>elytra-390</v>
      </c>
      <c r="E245" t="str">
        <f t="shared" si="8"/>
        <v>ROD-SF-elytra-390</v>
      </c>
      <c r="F245" s="10" t="s">
        <v>26</v>
      </c>
      <c r="G245" s="39" t="s">
        <v>1331</v>
      </c>
    </row>
    <row r="246" spans="1:7" ht="15.75">
      <c r="A246" s="1">
        <v>245</v>
      </c>
      <c r="B246" s="3" t="s">
        <v>1530</v>
      </c>
      <c r="C246" s="1" t="s">
        <v>1206</v>
      </c>
      <c r="D246" t="str">
        <f t="shared" si="9"/>
        <v>elytra-391</v>
      </c>
      <c r="E246" t="str">
        <f t="shared" si="8"/>
        <v>ROD-SF-elytra-391</v>
      </c>
      <c r="F246" s="10" t="s">
        <v>26</v>
      </c>
      <c r="G246" s="39" t="s">
        <v>1331</v>
      </c>
    </row>
    <row r="247" spans="1:7" ht="15.75">
      <c r="A247" s="1">
        <v>246</v>
      </c>
      <c r="B247" s="3" t="s">
        <v>1531</v>
      </c>
      <c r="C247" s="1" t="s">
        <v>1206</v>
      </c>
      <c r="D247" t="str">
        <f t="shared" si="9"/>
        <v>elytra-392</v>
      </c>
      <c r="E247" t="str">
        <f t="shared" si="8"/>
        <v>ROD-SF-elytra-392</v>
      </c>
      <c r="F247" s="10" t="s">
        <v>35</v>
      </c>
      <c r="G247" s="39" t="s">
        <v>1331</v>
      </c>
    </row>
    <row r="248" spans="1:7" ht="15.75">
      <c r="A248" s="1">
        <v>247</v>
      </c>
      <c r="B248" s="3" t="s">
        <v>1532</v>
      </c>
      <c r="C248" s="1" t="s">
        <v>1206</v>
      </c>
      <c r="D248" t="str">
        <f t="shared" si="9"/>
        <v>elytra-393</v>
      </c>
      <c r="E248" t="str">
        <f t="shared" si="8"/>
        <v>ROD-SF-elytra-393</v>
      </c>
      <c r="F248" s="10" t="s">
        <v>35</v>
      </c>
      <c r="G248" s="39" t="s">
        <v>1331</v>
      </c>
    </row>
    <row r="249" spans="1:7" ht="15.75">
      <c r="A249" s="1">
        <v>248</v>
      </c>
      <c r="B249" s="3" t="s">
        <v>1533</v>
      </c>
      <c r="C249" s="1" t="s">
        <v>1206</v>
      </c>
      <c r="D249" t="str">
        <f t="shared" si="9"/>
        <v>elytra-394</v>
      </c>
      <c r="E249" t="str">
        <f t="shared" si="8"/>
        <v>ROD-SF-elytra-394</v>
      </c>
      <c r="F249" s="10" t="s">
        <v>35</v>
      </c>
      <c r="G249" s="39" t="s">
        <v>1331</v>
      </c>
    </row>
    <row r="250" spans="1:7" ht="15.75">
      <c r="A250" s="1">
        <v>249</v>
      </c>
      <c r="B250" s="3" t="s">
        <v>1534</v>
      </c>
      <c r="C250" s="1" t="s">
        <v>1206</v>
      </c>
      <c r="D250" t="str">
        <f t="shared" si="9"/>
        <v>elytra-395</v>
      </c>
      <c r="E250" t="str">
        <f t="shared" si="8"/>
        <v>ROD-SF-elytra-395</v>
      </c>
      <c r="F250" s="10" t="s">
        <v>26</v>
      </c>
      <c r="G250" s="39" t="s">
        <v>1331</v>
      </c>
    </row>
    <row r="251" spans="1:7" ht="15.75">
      <c r="A251" s="1">
        <v>250</v>
      </c>
      <c r="B251" s="3" t="s">
        <v>1535</v>
      </c>
      <c r="C251" s="1" t="s">
        <v>1206</v>
      </c>
      <c r="D251" t="str">
        <f t="shared" si="9"/>
        <v>elytra-396</v>
      </c>
      <c r="E251" t="str">
        <f t="shared" si="8"/>
        <v>ROD-SF-elytra-396</v>
      </c>
      <c r="F251" s="10" t="s">
        <v>35</v>
      </c>
      <c r="G251" s="39" t="s">
        <v>1331</v>
      </c>
    </row>
    <row r="252" spans="1:7" ht="15.75">
      <c r="A252" s="1">
        <v>251</v>
      </c>
      <c r="B252" s="3" t="s">
        <v>1536</v>
      </c>
      <c r="C252" s="1" t="s">
        <v>1206</v>
      </c>
      <c r="D252" t="str">
        <f t="shared" si="9"/>
        <v>elytra-397</v>
      </c>
      <c r="E252" t="str">
        <f t="shared" si="8"/>
        <v>ROD-SF-elytra-397</v>
      </c>
      <c r="F252" s="10" t="s">
        <v>35</v>
      </c>
      <c r="G252" s="39" t="s">
        <v>1331</v>
      </c>
    </row>
    <row r="253" spans="1:7" ht="15.75">
      <c r="A253" s="1">
        <v>252</v>
      </c>
      <c r="B253" s="3" t="s">
        <v>1537</v>
      </c>
      <c r="C253" s="1" t="s">
        <v>1206</v>
      </c>
      <c r="D253" t="str">
        <f t="shared" si="9"/>
        <v>elytra-398</v>
      </c>
      <c r="E253" t="str">
        <f t="shared" si="8"/>
        <v>ROD-SF-elytra-398</v>
      </c>
      <c r="F253" s="10" t="s">
        <v>35</v>
      </c>
      <c r="G253" s="39" t="s">
        <v>1331</v>
      </c>
    </row>
    <row r="254" spans="1:7" ht="15.75">
      <c r="A254" s="1">
        <v>253</v>
      </c>
      <c r="B254" s="3" t="s">
        <v>1538</v>
      </c>
      <c r="C254" s="1" t="s">
        <v>1206</v>
      </c>
      <c r="D254" t="str">
        <f t="shared" si="9"/>
        <v>elytra-399</v>
      </c>
      <c r="E254" t="str">
        <f t="shared" si="8"/>
        <v>ROD-SF-elytra-399</v>
      </c>
      <c r="F254" s="10" t="s">
        <v>35</v>
      </c>
      <c r="G254" s="39" t="s">
        <v>1331</v>
      </c>
    </row>
    <row r="255" spans="1:7" ht="15.75">
      <c r="A255" s="1">
        <v>254</v>
      </c>
      <c r="B255" s="3" t="s">
        <v>1539</v>
      </c>
      <c r="C255" s="1" t="s">
        <v>1206</v>
      </c>
      <c r="D255" t="str">
        <f t="shared" si="9"/>
        <v>elytra-400</v>
      </c>
      <c r="E255" t="str">
        <f t="shared" si="8"/>
        <v>ROD-SF-elytra-400</v>
      </c>
      <c r="F255" s="10" t="s">
        <v>26</v>
      </c>
      <c r="G255" s="39" t="s">
        <v>1331</v>
      </c>
    </row>
    <row r="256" spans="1:7" ht="15.75">
      <c r="A256" s="1">
        <v>255</v>
      </c>
      <c r="B256" s="3" t="s">
        <v>1540</v>
      </c>
      <c r="C256" s="1" t="s">
        <v>1206</v>
      </c>
      <c r="D256" t="str">
        <f t="shared" si="9"/>
        <v>elytra-401</v>
      </c>
      <c r="E256" t="str">
        <f t="shared" si="8"/>
        <v>ROD-SF-elytra-401</v>
      </c>
      <c r="F256" s="10" t="s">
        <v>35</v>
      </c>
      <c r="G256" s="39" t="s">
        <v>1331</v>
      </c>
    </row>
    <row r="257" spans="1:7" ht="15.75">
      <c r="A257" s="1">
        <v>256</v>
      </c>
      <c r="B257" s="3" t="s">
        <v>1541</v>
      </c>
      <c r="C257" s="1" t="s">
        <v>1206</v>
      </c>
      <c r="D257" t="str">
        <f t="shared" si="9"/>
        <v>elytra-402</v>
      </c>
      <c r="E257" t="str">
        <f t="shared" si="8"/>
        <v>ROD-SF-elytra-402</v>
      </c>
      <c r="F257" s="10" t="s">
        <v>35</v>
      </c>
      <c r="G257" s="39" t="s">
        <v>1331</v>
      </c>
    </row>
    <row r="258" spans="1:7" ht="15.75">
      <c r="A258" s="1">
        <v>257</v>
      </c>
      <c r="B258" s="3" t="s">
        <v>1542</v>
      </c>
      <c r="C258" s="1" t="s">
        <v>1206</v>
      </c>
      <c r="D258" t="str">
        <f t="shared" si="9"/>
        <v>elytra-403</v>
      </c>
      <c r="E258" t="str">
        <f t="shared" si="8"/>
        <v>ROD-SF-elytra-403</v>
      </c>
      <c r="F258" s="10" t="s">
        <v>35</v>
      </c>
      <c r="G258" s="39" t="s">
        <v>1331</v>
      </c>
    </row>
    <row r="259" spans="1:7" ht="15.75">
      <c r="A259" s="1">
        <v>258</v>
      </c>
      <c r="B259" s="3" t="s">
        <v>1543</v>
      </c>
      <c r="C259" s="1" t="s">
        <v>1206</v>
      </c>
      <c r="D259" t="str">
        <f t="shared" si="9"/>
        <v>elytra-404</v>
      </c>
      <c r="E259" t="str">
        <f t="shared" si="8"/>
        <v>ROD-SF-elytra-404</v>
      </c>
      <c r="F259" s="10" t="s">
        <v>35</v>
      </c>
      <c r="G259" s="39" t="s">
        <v>1331</v>
      </c>
    </row>
    <row r="260" spans="1:7" ht="15.75">
      <c r="A260" s="1">
        <v>259</v>
      </c>
      <c r="B260" s="3" t="s">
        <v>1544</v>
      </c>
      <c r="C260" s="1" t="s">
        <v>1206</v>
      </c>
      <c r="D260" t="str">
        <f t="shared" si="9"/>
        <v>elytra-405</v>
      </c>
      <c r="E260" t="str">
        <f t="shared" si="8"/>
        <v>ROD-SF-elytra-405</v>
      </c>
      <c r="F260" s="10" t="s">
        <v>35</v>
      </c>
      <c r="G260" s="39" t="s">
        <v>1331</v>
      </c>
    </row>
    <row r="261" spans="1:7" ht="15.75">
      <c r="A261" s="1">
        <v>260</v>
      </c>
      <c r="B261" s="3" t="s">
        <v>1545</v>
      </c>
      <c r="C261" s="1" t="s">
        <v>1206</v>
      </c>
      <c r="D261" t="str">
        <f t="shared" si="9"/>
        <v>elytra-406</v>
      </c>
      <c r="E261" t="str">
        <f t="shared" si="8"/>
        <v>ROD-SF-elytra-406</v>
      </c>
      <c r="F261" s="10" t="s">
        <v>26</v>
      </c>
      <c r="G261" s="39" t="s">
        <v>1331</v>
      </c>
    </row>
    <row r="262" spans="1:7" ht="15.75">
      <c r="A262" s="1">
        <v>261</v>
      </c>
      <c r="B262" s="3" t="s">
        <v>1546</v>
      </c>
      <c r="C262" s="1" t="s">
        <v>1206</v>
      </c>
      <c r="D262" t="str">
        <f t="shared" si="9"/>
        <v>elytra-407</v>
      </c>
      <c r="E262" t="str">
        <f t="shared" si="8"/>
        <v>ROD-SF-elytra-407</v>
      </c>
      <c r="F262" s="10" t="s">
        <v>35</v>
      </c>
      <c r="G262" s="39" t="s">
        <v>1331</v>
      </c>
    </row>
    <row r="263" spans="1:7" ht="15.75">
      <c r="A263" s="1">
        <v>262</v>
      </c>
      <c r="B263" s="3" t="s">
        <v>1547</v>
      </c>
      <c r="C263" s="1" t="s">
        <v>1206</v>
      </c>
      <c r="D263" t="str">
        <f t="shared" si="9"/>
        <v>elytra-408</v>
      </c>
      <c r="E263" t="str">
        <f t="shared" si="8"/>
        <v>ROD-SF-elytra-408</v>
      </c>
      <c r="F263" s="10" t="s">
        <v>35</v>
      </c>
      <c r="G263" s="39" t="s">
        <v>1331</v>
      </c>
    </row>
    <row r="264" spans="1:7" ht="15.75">
      <c r="A264" s="1">
        <v>263</v>
      </c>
      <c r="B264" s="3" t="s">
        <v>1548</v>
      </c>
      <c r="C264" s="1" t="s">
        <v>1206</v>
      </c>
      <c r="D264" t="str">
        <f t="shared" si="9"/>
        <v>elytra-409</v>
      </c>
      <c r="E264" t="str">
        <f t="shared" si="8"/>
        <v>ROD-SF-elytra-409</v>
      </c>
      <c r="F264" s="10" t="s">
        <v>26</v>
      </c>
      <c r="G264" s="39" t="s">
        <v>1331</v>
      </c>
    </row>
    <row r="265" spans="1:7" ht="15.75">
      <c r="A265" s="1">
        <v>264</v>
      </c>
      <c r="B265" s="3" t="s">
        <v>1549</v>
      </c>
      <c r="C265" s="1" t="s">
        <v>1206</v>
      </c>
      <c r="D265" t="str">
        <f t="shared" si="9"/>
        <v>elytra-410</v>
      </c>
      <c r="E265" t="str">
        <f t="shared" si="8"/>
        <v>ROD-SF-elytra-410</v>
      </c>
      <c r="F265" s="10" t="s">
        <v>26</v>
      </c>
      <c r="G265" s="39" t="s">
        <v>1331</v>
      </c>
    </row>
    <row r="266" spans="1:7" ht="15.75">
      <c r="A266" s="1">
        <v>265</v>
      </c>
      <c r="B266" s="3" t="s">
        <v>1550</v>
      </c>
      <c r="C266" s="1" t="s">
        <v>1206</v>
      </c>
      <c r="D266" t="str">
        <f t="shared" si="9"/>
        <v>elytra-411</v>
      </c>
      <c r="E266" t="str">
        <f t="shared" si="8"/>
        <v>ROD-SF-elytra-411</v>
      </c>
      <c r="F266" s="10" t="s">
        <v>35</v>
      </c>
      <c r="G266" s="39" t="s">
        <v>1331</v>
      </c>
    </row>
    <row r="267" spans="1:7" ht="15.75">
      <c r="A267" s="1">
        <v>266</v>
      </c>
      <c r="B267" s="3" t="s">
        <v>1551</v>
      </c>
      <c r="C267" s="1" t="s">
        <v>1206</v>
      </c>
      <c r="D267" t="str">
        <f t="shared" si="9"/>
        <v>elytra-412</v>
      </c>
      <c r="E267" t="str">
        <f t="shared" si="8"/>
        <v>ROD-SF-elytra-412</v>
      </c>
      <c r="F267" s="10" t="s">
        <v>35</v>
      </c>
      <c r="G267" s="39" t="s">
        <v>1331</v>
      </c>
    </row>
    <row r="268" spans="1:7" ht="15.75">
      <c r="A268" s="1">
        <v>267</v>
      </c>
      <c r="B268" s="3" t="s">
        <v>1552</v>
      </c>
      <c r="C268" s="1" t="s">
        <v>1206</v>
      </c>
      <c r="D268" t="str">
        <f t="shared" si="9"/>
        <v>elytra-413</v>
      </c>
      <c r="E268" t="str">
        <f t="shared" si="8"/>
        <v>ROD-SF-elytra-413</v>
      </c>
      <c r="F268" s="10" t="s">
        <v>35</v>
      </c>
      <c r="G268" s="39" t="s">
        <v>1331</v>
      </c>
    </row>
    <row r="269" spans="1:7" ht="15.75">
      <c r="A269" s="1">
        <v>268</v>
      </c>
      <c r="B269" s="3" t="s">
        <v>1553</v>
      </c>
      <c r="C269" s="1" t="s">
        <v>1206</v>
      </c>
      <c r="D269" t="str">
        <f t="shared" si="9"/>
        <v>elytra-414</v>
      </c>
      <c r="E269" t="str">
        <f t="shared" si="8"/>
        <v>ROD-SF-elytra-414</v>
      </c>
      <c r="F269" s="10" t="s">
        <v>35</v>
      </c>
      <c r="G269" s="39" t="s">
        <v>1331</v>
      </c>
    </row>
    <row r="270" spans="1:7" ht="15.75">
      <c r="A270" s="1">
        <v>269</v>
      </c>
      <c r="B270" s="3" t="s">
        <v>1554</v>
      </c>
      <c r="C270" s="1" t="s">
        <v>1206</v>
      </c>
      <c r="D270" t="str">
        <f t="shared" si="9"/>
        <v>elytra-415</v>
      </c>
      <c r="E270" t="str">
        <f t="shared" ref="E270:E333" si="10">C270&amp;D270</f>
        <v>ROD-SF-elytra-415</v>
      </c>
      <c r="F270" s="10" t="s">
        <v>26</v>
      </c>
      <c r="G270" s="39" t="s">
        <v>1331</v>
      </c>
    </row>
    <row r="271" spans="1:7" ht="15.75">
      <c r="A271" s="1">
        <v>270</v>
      </c>
      <c r="B271" s="3" t="s">
        <v>1555</v>
      </c>
      <c r="C271" s="1" t="s">
        <v>1206</v>
      </c>
      <c r="D271" t="str">
        <f t="shared" si="9"/>
        <v>elytra-416</v>
      </c>
      <c r="E271" t="str">
        <f t="shared" si="10"/>
        <v>ROD-SF-elytra-416</v>
      </c>
      <c r="F271" s="10" t="s">
        <v>26</v>
      </c>
      <c r="G271" s="39" t="s">
        <v>1331</v>
      </c>
    </row>
    <row r="272" spans="1:7" ht="15.75">
      <c r="A272" s="1">
        <v>271</v>
      </c>
      <c r="B272" s="3" t="s">
        <v>1556</v>
      </c>
      <c r="C272" s="1" t="s">
        <v>1206</v>
      </c>
      <c r="D272" t="str">
        <f t="shared" si="9"/>
        <v>elytra-417</v>
      </c>
      <c r="E272" t="str">
        <f t="shared" si="10"/>
        <v>ROD-SF-elytra-417</v>
      </c>
      <c r="F272" s="10" t="s">
        <v>26</v>
      </c>
      <c r="G272" s="39" t="s">
        <v>1331</v>
      </c>
    </row>
    <row r="273" spans="1:7" ht="15.75">
      <c r="A273" s="1">
        <v>272</v>
      </c>
      <c r="B273" s="3" t="s">
        <v>1557</v>
      </c>
      <c r="C273" s="1" t="s">
        <v>1206</v>
      </c>
      <c r="D273" t="str">
        <f t="shared" si="9"/>
        <v>elytra-418</v>
      </c>
      <c r="E273" t="str">
        <f t="shared" si="10"/>
        <v>ROD-SF-elytra-418</v>
      </c>
      <c r="F273" s="10" t="s">
        <v>35</v>
      </c>
      <c r="G273" s="39" t="s">
        <v>1331</v>
      </c>
    </row>
    <row r="274" spans="1:7" ht="15.75">
      <c r="A274" s="1">
        <v>273</v>
      </c>
      <c r="B274" s="3" t="s">
        <v>1558</v>
      </c>
      <c r="C274" s="1" t="s">
        <v>1206</v>
      </c>
      <c r="D274" t="str">
        <f t="shared" si="9"/>
        <v>elytra-419</v>
      </c>
      <c r="E274" t="str">
        <f t="shared" si="10"/>
        <v>ROD-SF-elytra-419</v>
      </c>
      <c r="F274" s="10" t="s">
        <v>26</v>
      </c>
      <c r="G274" s="39" t="s">
        <v>1331</v>
      </c>
    </row>
    <row r="275" spans="1:7" ht="15.75">
      <c r="A275" s="1">
        <v>274</v>
      </c>
      <c r="B275" s="3" t="s">
        <v>1559</v>
      </c>
      <c r="C275" s="1" t="s">
        <v>1206</v>
      </c>
      <c r="D275" t="str">
        <f t="shared" si="9"/>
        <v>elytra-420</v>
      </c>
      <c r="E275" t="str">
        <f t="shared" si="10"/>
        <v>ROD-SF-elytra-420</v>
      </c>
      <c r="F275" s="10" t="s">
        <v>35</v>
      </c>
      <c r="G275" s="39" t="s">
        <v>1331</v>
      </c>
    </row>
    <row r="276" spans="1:7" ht="15.75">
      <c r="A276" s="1">
        <v>275</v>
      </c>
      <c r="B276" s="3" t="s">
        <v>1560</v>
      </c>
      <c r="C276" s="1" t="s">
        <v>1206</v>
      </c>
      <c r="D276" t="str">
        <f t="shared" si="9"/>
        <v>elytra-421</v>
      </c>
      <c r="E276" t="str">
        <f t="shared" si="10"/>
        <v>ROD-SF-elytra-421</v>
      </c>
      <c r="F276" s="10" t="s">
        <v>35</v>
      </c>
      <c r="G276" s="39" t="s">
        <v>1331</v>
      </c>
    </row>
    <row r="277" spans="1:7" ht="15.75">
      <c r="A277" s="1">
        <v>276</v>
      </c>
      <c r="B277" s="3" t="s">
        <v>1561</v>
      </c>
      <c r="C277" s="1" t="s">
        <v>1206</v>
      </c>
      <c r="D277" t="str">
        <f t="shared" si="9"/>
        <v>elytra-422</v>
      </c>
      <c r="E277" t="str">
        <f t="shared" si="10"/>
        <v>ROD-SF-elytra-422</v>
      </c>
      <c r="F277" s="10" t="s">
        <v>35</v>
      </c>
      <c r="G277" s="39" t="s">
        <v>1331</v>
      </c>
    </row>
    <row r="278" spans="1:7" ht="15.75">
      <c r="A278" s="1">
        <v>277</v>
      </c>
      <c r="B278" s="3" t="s">
        <v>1562</v>
      </c>
      <c r="C278" s="1" t="s">
        <v>1206</v>
      </c>
      <c r="D278" t="str">
        <f t="shared" si="9"/>
        <v>elytra-423</v>
      </c>
      <c r="E278" t="str">
        <f t="shared" si="10"/>
        <v>ROD-SF-elytra-423</v>
      </c>
      <c r="F278" s="10" t="s">
        <v>35</v>
      </c>
      <c r="G278" s="39" t="s">
        <v>1331</v>
      </c>
    </row>
    <row r="279" spans="1:7" ht="15.75">
      <c r="A279" s="1">
        <v>278</v>
      </c>
      <c r="B279" s="3" t="s">
        <v>1563</v>
      </c>
      <c r="C279" s="1" t="s">
        <v>1206</v>
      </c>
      <c r="D279" t="str">
        <f t="shared" si="9"/>
        <v>elytra-424</v>
      </c>
      <c r="E279" t="str">
        <f t="shared" si="10"/>
        <v>ROD-SF-elytra-424</v>
      </c>
      <c r="F279" s="10" t="s">
        <v>35</v>
      </c>
      <c r="G279" s="39" t="s">
        <v>1331</v>
      </c>
    </row>
    <row r="280" spans="1:7" ht="15.75">
      <c r="A280" s="1">
        <v>279</v>
      </c>
      <c r="B280" s="3" t="s">
        <v>1564</v>
      </c>
      <c r="C280" s="1" t="s">
        <v>1206</v>
      </c>
      <c r="D280" t="str">
        <f t="shared" si="9"/>
        <v>elytra-425</v>
      </c>
      <c r="E280" t="str">
        <f t="shared" si="10"/>
        <v>ROD-SF-elytra-425</v>
      </c>
      <c r="F280" s="10" t="s">
        <v>26</v>
      </c>
      <c r="G280" s="39" t="s">
        <v>1331</v>
      </c>
    </row>
    <row r="281" spans="1:7" ht="15.75">
      <c r="A281" s="1">
        <v>280</v>
      </c>
      <c r="B281" s="3" t="s">
        <v>1565</v>
      </c>
      <c r="C281" s="1" t="s">
        <v>1206</v>
      </c>
      <c r="D281" t="str">
        <f t="shared" si="9"/>
        <v>elytra-426</v>
      </c>
      <c r="E281" t="str">
        <f t="shared" si="10"/>
        <v>ROD-SF-elytra-426</v>
      </c>
      <c r="F281" s="10" t="s">
        <v>35</v>
      </c>
      <c r="G281" s="39" t="s">
        <v>1331</v>
      </c>
    </row>
    <row r="282" spans="1:7" ht="15.75">
      <c r="A282" s="1">
        <v>281</v>
      </c>
      <c r="B282" s="3" t="s">
        <v>1566</v>
      </c>
      <c r="C282" s="1" t="s">
        <v>1206</v>
      </c>
      <c r="D282" t="str">
        <f t="shared" si="9"/>
        <v>elytra-427</v>
      </c>
      <c r="E282" t="str">
        <f t="shared" si="10"/>
        <v>ROD-SF-elytra-427</v>
      </c>
      <c r="F282" s="10" t="s">
        <v>26</v>
      </c>
      <c r="G282" s="39" t="s">
        <v>1331</v>
      </c>
    </row>
    <row r="283" spans="1:7" ht="15.75">
      <c r="A283" s="1">
        <v>282</v>
      </c>
      <c r="B283" s="3" t="s">
        <v>1567</v>
      </c>
      <c r="C283" s="1" t="s">
        <v>1206</v>
      </c>
      <c r="D283" t="str">
        <f t="shared" si="9"/>
        <v>elytra-428</v>
      </c>
      <c r="E283" t="str">
        <f t="shared" si="10"/>
        <v>ROD-SF-elytra-428</v>
      </c>
      <c r="F283" s="10" t="s">
        <v>35</v>
      </c>
      <c r="G283" s="39" t="s">
        <v>1331</v>
      </c>
    </row>
    <row r="284" spans="1:7" ht="15.75">
      <c r="A284" s="1">
        <v>283</v>
      </c>
      <c r="B284" s="3" t="s">
        <v>1568</v>
      </c>
      <c r="C284" s="1" t="s">
        <v>1206</v>
      </c>
      <c r="D284" t="str">
        <f t="shared" si="9"/>
        <v>elytra-429</v>
      </c>
      <c r="E284" t="str">
        <f t="shared" si="10"/>
        <v>ROD-SF-elytra-429</v>
      </c>
      <c r="F284" s="10" t="s">
        <v>26</v>
      </c>
      <c r="G284" s="39" t="s">
        <v>1331</v>
      </c>
    </row>
    <row r="285" spans="1:7" ht="15.75">
      <c r="A285" s="1">
        <v>284</v>
      </c>
      <c r="B285" s="3" t="s">
        <v>1569</v>
      </c>
      <c r="C285" s="1" t="s">
        <v>1206</v>
      </c>
      <c r="D285" t="str">
        <f t="shared" si="9"/>
        <v>elytra-430</v>
      </c>
      <c r="E285" t="str">
        <f t="shared" si="10"/>
        <v>ROD-SF-elytra-430</v>
      </c>
      <c r="F285" s="10" t="s">
        <v>35</v>
      </c>
      <c r="G285" s="39" t="s">
        <v>1331</v>
      </c>
    </row>
    <row r="286" spans="1:7" ht="15.75">
      <c r="A286" s="1">
        <v>285</v>
      </c>
      <c r="B286" s="3" t="s">
        <v>1570</v>
      </c>
      <c r="C286" s="1" t="s">
        <v>1206</v>
      </c>
      <c r="D286" t="str">
        <f t="shared" si="9"/>
        <v>elytra-431</v>
      </c>
      <c r="E286" t="str">
        <f t="shared" si="10"/>
        <v>ROD-SF-elytra-431</v>
      </c>
      <c r="F286" s="10" t="s">
        <v>26</v>
      </c>
      <c r="G286" s="39" t="s">
        <v>1331</v>
      </c>
    </row>
    <row r="287" spans="1:7" ht="15.75">
      <c r="A287" s="1">
        <v>286</v>
      </c>
      <c r="B287" s="3" t="s">
        <v>1571</v>
      </c>
      <c r="C287" s="1" t="s">
        <v>1206</v>
      </c>
      <c r="D287" t="str">
        <f t="shared" si="9"/>
        <v>elytra-432</v>
      </c>
      <c r="E287" t="str">
        <f t="shared" si="10"/>
        <v>ROD-SF-elytra-432</v>
      </c>
      <c r="F287" s="10" t="s">
        <v>35</v>
      </c>
      <c r="G287" s="39" t="s">
        <v>1331</v>
      </c>
    </row>
    <row r="288" spans="1:7" ht="15.75">
      <c r="A288" s="1">
        <v>287</v>
      </c>
      <c r="B288" s="3" t="s">
        <v>1572</v>
      </c>
      <c r="C288" s="1" t="s">
        <v>1206</v>
      </c>
      <c r="D288" t="str">
        <f t="shared" si="9"/>
        <v>elytra-433</v>
      </c>
      <c r="E288" t="str">
        <f t="shared" si="10"/>
        <v>ROD-SF-elytra-433</v>
      </c>
      <c r="F288" s="10" t="s">
        <v>35</v>
      </c>
      <c r="G288" s="39" t="s">
        <v>1331</v>
      </c>
    </row>
    <row r="289" spans="1:7" ht="15.75">
      <c r="A289" s="1">
        <v>288</v>
      </c>
      <c r="B289" s="3" t="s">
        <v>1573</v>
      </c>
      <c r="C289" s="1" t="s">
        <v>1206</v>
      </c>
      <c r="D289" t="str">
        <f t="shared" si="9"/>
        <v>elytra-434</v>
      </c>
      <c r="E289" t="str">
        <f t="shared" si="10"/>
        <v>ROD-SF-elytra-434</v>
      </c>
      <c r="F289" s="10" t="s">
        <v>35</v>
      </c>
      <c r="G289" s="39" t="s">
        <v>1331</v>
      </c>
    </row>
    <row r="290" spans="1:7" ht="15.75">
      <c r="A290" s="1">
        <v>289</v>
      </c>
      <c r="B290" s="3" t="s">
        <v>1574</v>
      </c>
      <c r="C290" s="1" t="s">
        <v>1206</v>
      </c>
      <c r="D290" t="str">
        <f t="shared" si="9"/>
        <v>elytra-435</v>
      </c>
      <c r="E290" t="str">
        <f t="shared" si="10"/>
        <v>ROD-SF-elytra-435</v>
      </c>
      <c r="F290" s="10" t="s">
        <v>26</v>
      </c>
      <c r="G290" s="39" t="s">
        <v>1331</v>
      </c>
    </row>
    <row r="291" spans="1:7" ht="15.75">
      <c r="A291" s="1">
        <v>290</v>
      </c>
      <c r="B291" s="3" t="s">
        <v>1575</v>
      </c>
      <c r="C291" s="1" t="s">
        <v>1206</v>
      </c>
      <c r="D291" t="str">
        <f t="shared" si="9"/>
        <v>elytra-436</v>
      </c>
      <c r="E291" t="str">
        <f t="shared" si="10"/>
        <v>ROD-SF-elytra-436</v>
      </c>
      <c r="F291" s="10" t="s">
        <v>26</v>
      </c>
      <c r="G291" s="39" t="s">
        <v>1331</v>
      </c>
    </row>
    <row r="292" spans="1:7" ht="15.75">
      <c r="A292" s="1">
        <v>291</v>
      </c>
      <c r="B292" s="3" t="s">
        <v>1576</v>
      </c>
      <c r="C292" s="1" t="s">
        <v>1206</v>
      </c>
      <c r="D292" t="str">
        <f t="shared" si="9"/>
        <v>elytra-437</v>
      </c>
      <c r="E292" t="str">
        <f t="shared" si="10"/>
        <v>ROD-SF-elytra-437</v>
      </c>
      <c r="F292" s="10" t="s">
        <v>35</v>
      </c>
      <c r="G292" s="39" t="s">
        <v>1331</v>
      </c>
    </row>
    <row r="293" spans="1:7" ht="15.75">
      <c r="A293" s="1">
        <v>292</v>
      </c>
      <c r="B293" s="3" t="s">
        <v>1577</v>
      </c>
      <c r="C293" s="1" t="s">
        <v>1206</v>
      </c>
      <c r="D293" t="str">
        <f t="shared" ref="D293:D356" si="11">RIGHT(B293,10)</f>
        <v>elytra-438</v>
      </c>
      <c r="E293" t="str">
        <f t="shared" si="10"/>
        <v>ROD-SF-elytra-438</v>
      </c>
      <c r="F293" s="10" t="s">
        <v>35</v>
      </c>
      <c r="G293" s="39" t="s">
        <v>1331</v>
      </c>
    </row>
    <row r="294" spans="1:7" ht="15.75">
      <c r="A294" s="1">
        <v>293</v>
      </c>
      <c r="B294" s="3" t="s">
        <v>1578</v>
      </c>
      <c r="C294" s="1" t="s">
        <v>1206</v>
      </c>
      <c r="D294" t="str">
        <f t="shared" si="11"/>
        <v>elytra-439</v>
      </c>
      <c r="E294" t="str">
        <f t="shared" si="10"/>
        <v>ROD-SF-elytra-439</v>
      </c>
      <c r="F294" s="10" t="s">
        <v>35</v>
      </c>
      <c r="G294" s="39" t="s">
        <v>1331</v>
      </c>
    </row>
    <row r="295" spans="1:7" ht="15.75">
      <c r="A295" s="1">
        <v>294</v>
      </c>
      <c r="B295" s="3" t="s">
        <v>1579</v>
      </c>
      <c r="C295" s="1" t="s">
        <v>1206</v>
      </c>
      <c r="D295" t="str">
        <f t="shared" si="11"/>
        <v>elytra-440</v>
      </c>
      <c r="E295" t="str">
        <f t="shared" si="10"/>
        <v>ROD-SF-elytra-440</v>
      </c>
      <c r="F295" s="10" t="s">
        <v>35</v>
      </c>
      <c r="G295" s="39" t="s">
        <v>1331</v>
      </c>
    </row>
    <row r="296" spans="1:7" ht="15.75">
      <c r="A296" s="1">
        <v>295</v>
      </c>
      <c r="B296" s="3" t="s">
        <v>1580</v>
      </c>
      <c r="C296" s="1" t="s">
        <v>1206</v>
      </c>
      <c r="D296" t="str">
        <f t="shared" si="11"/>
        <v>elytra-441</v>
      </c>
      <c r="E296" t="str">
        <f t="shared" si="10"/>
        <v>ROD-SF-elytra-441</v>
      </c>
      <c r="F296" s="10" t="s">
        <v>35</v>
      </c>
      <c r="G296" s="39" t="s">
        <v>1331</v>
      </c>
    </row>
    <row r="297" spans="1:7" ht="15.75">
      <c r="A297" s="1">
        <v>296</v>
      </c>
      <c r="B297" s="3" t="s">
        <v>1581</v>
      </c>
      <c r="C297" s="1" t="s">
        <v>1206</v>
      </c>
      <c r="D297" t="str">
        <f t="shared" si="11"/>
        <v>elytra-442</v>
      </c>
      <c r="E297" t="str">
        <f t="shared" si="10"/>
        <v>ROD-SF-elytra-442</v>
      </c>
      <c r="F297" s="10" t="s">
        <v>35</v>
      </c>
      <c r="G297" s="39" t="s">
        <v>1331</v>
      </c>
    </row>
    <row r="298" spans="1:7" ht="15.75">
      <c r="A298" s="1">
        <v>297</v>
      </c>
      <c r="B298" s="3" t="s">
        <v>1582</v>
      </c>
      <c r="C298" s="1" t="s">
        <v>1206</v>
      </c>
      <c r="D298" t="str">
        <f t="shared" si="11"/>
        <v>elytra-443</v>
      </c>
      <c r="E298" t="str">
        <f t="shared" si="10"/>
        <v>ROD-SF-elytra-443</v>
      </c>
      <c r="F298" s="10" t="s">
        <v>35</v>
      </c>
      <c r="G298" s="39" t="s">
        <v>1331</v>
      </c>
    </row>
    <row r="299" spans="1:7" ht="15.75">
      <c r="A299" s="1">
        <v>298</v>
      </c>
      <c r="B299" s="3" t="s">
        <v>1583</v>
      </c>
      <c r="C299" s="1" t="s">
        <v>1206</v>
      </c>
      <c r="D299" t="str">
        <f t="shared" si="11"/>
        <v>elytra-444</v>
      </c>
      <c r="E299" t="str">
        <f t="shared" si="10"/>
        <v>ROD-SF-elytra-444</v>
      </c>
      <c r="F299" s="10" t="s">
        <v>35</v>
      </c>
      <c r="G299" s="39" t="s">
        <v>1331</v>
      </c>
    </row>
    <row r="300" spans="1:7" ht="15.75">
      <c r="A300" s="1">
        <v>299</v>
      </c>
      <c r="B300" s="3" t="s">
        <v>1584</v>
      </c>
      <c r="C300" s="1" t="s">
        <v>1206</v>
      </c>
      <c r="D300" t="str">
        <f t="shared" si="11"/>
        <v>elytra-445</v>
      </c>
      <c r="E300" t="str">
        <f t="shared" si="10"/>
        <v>ROD-SF-elytra-445</v>
      </c>
      <c r="F300" s="10" t="s">
        <v>26</v>
      </c>
      <c r="G300" s="39" t="s">
        <v>1331</v>
      </c>
    </row>
    <row r="301" spans="1:7" ht="15.75">
      <c r="A301" s="1">
        <v>300</v>
      </c>
      <c r="B301" s="3" t="s">
        <v>1585</v>
      </c>
      <c r="C301" s="1" t="s">
        <v>1206</v>
      </c>
      <c r="D301" t="str">
        <f t="shared" si="11"/>
        <v>elytra-446</v>
      </c>
      <c r="E301" t="str">
        <f t="shared" si="10"/>
        <v>ROD-SF-elytra-446</v>
      </c>
      <c r="F301" s="10" t="s">
        <v>26</v>
      </c>
      <c r="G301" s="39" t="s">
        <v>1331</v>
      </c>
    </row>
    <row r="302" spans="1:7" ht="15.75">
      <c r="A302" s="1">
        <v>301</v>
      </c>
      <c r="B302" s="3" t="s">
        <v>1586</v>
      </c>
      <c r="C302" s="1" t="s">
        <v>1206</v>
      </c>
      <c r="D302" t="str">
        <f t="shared" si="11"/>
        <v>elytra-447</v>
      </c>
      <c r="E302" t="str">
        <f t="shared" si="10"/>
        <v>ROD-SF-elytra-447</v>
      </c>
      <c r="F302" s="10" t="s">
        <v>35</v>
      </c>
      <c r="G302" s="39" t="s">
        <v>1331</v>
      </c>
    </row>
    <row r="303" spans="1:7" ht="15.75">
      <c r="A303" s="1">
        <v>302</v>
      </c>
      <c r="B303" s="3" t="s">
        <v>1587</v>
      </c>
      <c r="C303" s="1" t="s">
        <v>1206</v>
      </c>
      <c r="D303" t="str">
        <f t="shared" si="11"/>
        <v>elytra-448</v>
      </c>
      <c r="E303" t="str">
        <f t="shared" si="10"/>
        <v>ROD-SF-elytra-448</v>
      </c>
      <c r="F303" s="10" t="s">
        <v>26</v>
      </c>
      <c r="G303" s="39" t="s">
        <v>1331</v>
      </c>
    </row>
    <row r="304" spans="1:7" ht="15.75">
      <c r="A304" s="1">
        <v>303</v>
      </c>
      <c r="B304" s="3" t="s">
        <v>1588</v>
      </c>
      <c r="C304" s="1" t="s">
        <v>1206</v>
      </c>
      <c r="D304" t="str">
        <f t="shared" si="11"/>
        <v>elytra-449</v>
      </c>
      <c r="E304" t="str">
        <f t="shared" si="10"/>
        <v>ROD-SF-elytra-449</v>
      </c>
      <c r="F304" s="10" t="s">
        <v>35</v>
      </c>
      <c r="G304" s="39" t="s">
        <v>1331</v>
      </c>
    </row>
    <row r="305" spans="1:7" ht="15.75">
      <c r="A305" s="1">
        <v>304</v>
      </c>
      <c r="B305" s="3" t="s">
        <v>1589</v>
      </c>
      <c r="C305" s="1" t="s">
        <v>1206</v>
      </c>
      <c r="D305" t="str">
        <f t="shared" si="11"/>
        <v>elytra-450</v>
      </c>
      <c r="E305" t="str">
        <f t="shared" si="10"/>
        <v>ROD-SF-elytra-450</v>
      </c>
      <c r="F305" s="10" t="s">
        <v>35</v>
      </c>
      <c r="G305" s="39" t="s">
        <v>1331</v>
      </c>
    </row>
    <row r="306" spans="1:7" ht="15.75">
      <c r="A306" s="1">
        <v>305</v>
      </c>
      <c r="B306" s="3" t="s">
        <v>1590</v>
      </c>
      <c r="C306" s="1" t="s">
        <v>1206</v>
      </c>
      <c r="D306" t="str">
        <f t="shared" si="11"/>
        <v>elytra-451</v>
      </c>
      <c r="E306" t="str">
        <f t="shared" si="10"/>
        <v>ROD-SF-elytra-451</v>
      </c>
      <c r="F306" s="10" t="s">
        <v>35</v>
      </c>
      <c r="G306" s="39" t="s">
        <v>1331</v>
      </c>
    </row>
    <row r="307" spans="1:7" ht="15.75">
      <c r="A307" s="1">
        <v>306</v>
      </c>
      <c r="B307" s="3" t="s">
        <v>1591</v>
      </c>
      <c r="C307" s="1" t="s">
        <v>1206</v>
      </c>
      <c r="D307" t="str">
        <f t="shared" si="11"/>
        <v>elytra-452</v>
      </c>
      <c r="E307" t="str">
        <f t="shared" si="10"/>
        <v>ROD-SF-elytra-452</v>
      </c>
      <c r="F307" s="10" t="s">
        <v>35</v>
      </c>
      <c r="G307" s="39" t="s">
        <v>1331</v>
      </c>
    </row>
    <row r="308" spans="1:7" ht="15.75">
      <c r="A308" s="1">
        <v>307</v>
      </c>
      <c r="B308" s="3" t="s">
        <v>1592</v>
      </c>
      <c r="C308" s="1" t="s">
        <v>1206</v>
      </c>
      <c r="D308" t="str">
        <f t="shared" si="11"/>
        <v>elytra-453</v>
      </c>
      <c r="E308" t="str">
        <f t="shared" si="10"/>
        <v>ROD-SF-elytra-453</v>
      </c>
      <c r="F308" s="10" t="s">
        <v>35</v>
      </c>
      <c r="G308" s="39" t="s">
        <v>1331</v>
      </c>
    </row>
    <row r="309" spans="1:7" ht="15.75">
      <c r="A309" s="1">
        <v>308</v>
      </c>
      <c r="B309" s="3" t="s">
        <v>1593</v>
      </c>
      <c r="C309" s="1" t="s">
        <v>1206</v>
      </c>
      <c r="D309" t="str">
        <f t="shared" si="11"/>
        <v>elytra-454</v>
      </c>
      <c r="E309" t="str">
        <f t="shared" si="10"/>
        <v>ROD-SF-elytra-454</v>
      </c>
      <c r="F309" s="10" t="s">
        <v>26</v>
      </c>
      <c r="G309" s="39" t="s">
        <v>1331</v>
      </c>
    </row>
    <row r="310" spans="1:7" ht="15.75">
      <c r="A310" s="1">
        <v>309</v>
      </c>
      <c r="B310" s="3" t="s">
        <v>1594</v>
      </c>
      <c r="C310" s="1" t="s">
        <v>1206</v>
      </c>
      <c r="D310" t="str">
        <f t="shared" si="11"/>
        <v>elytra-455</v>
      </c>
      <c r="E310" t="str">
        <f t="shared" si="10"/>
        <v>ROD-SF-elytra-455</v>
      </c>
      <c r="F310" s="10" t="s">
        <v>35</v>
      </c>
      <c r="G310" s="39" t="s">
        <v>1331</v>
      </c>
    </row>
    <row r="311" spans="1:7" ht="15.75">
      <c r="A311" s="1">
        <v>310</v>
      </c>
      <c r="B311" s="3" t="s">
        <v>1595</v>
      </c>
      <c r="C311" s="1" t="s">
        <v>1206</v>
      </c>
      <c r="D311" t="str">
        <f t="shared" si="11"/>
        <v>elytra-456</v>
      </c>
      <c r="E311" t="str">
        <f t="shared" si="10"/>
        <v>ROD-SF-elytra-456</v>
      </c>
      <c r="F311" s="10" t="s">
        <v>35</v>
      </c>
      <c r="G311" s="39" t="s">
        <v>1331</v>
      </c>
    </row>
    <row r="312" spans="1:7" ht="15.75">
      <c r="A312" s="1">
        <v>311</v>
      </c>
      <c r="B312" s="3" t="s">
        <v>1596</v>
      </c>
      <c r="C312" s="1" t="s">
        <v>1206</v>
      </c>
      <c r="D312" t="str">
        <f t="shared" si="11"/>
        <v>elytra-457</v>
      </c>
      <c r="E312" t="str">
        <f t="shared" si="10"/>
        <v>ROD-SF-elytra-457</v>
      </c>
      <c r="F312" s="10" t="s">
        <v>35</v>
      </c>
      <c r="G312" s="39" t="s">
        <v>1331</v>
      </c>
    </row>
    <row r="313" spans="1:7" ht="15.75">
      <c r="A313" s="1">
        <v>312</v>
      </c>
      <c r="B313" s="3" t="s">
        <v>1597</v>
      </c>
      <c r="C313" s="1" t="s">
        <v>1206</v>
      </c>
      <c r="D313" t="str">
        <f t="shared" si="11"/>
        <v>elytra-458</v>
      </c>
      <c r="E313" t="str">
        <f t="shared" si="10"/>
        <v>ROD-SF-elytra-458</v>
      </c>
      <c r="F313" s="10" t="s">
        <v>35</v>
      </c>
      <c r="G313" s="39" t="s">
        <v>1331</v>
      </c>
    </row>
    <row r="314" spans="1:7" ht="15.75">
      <c r="A314" s="1">
        <v>313</v>
      </c>
      <c r="B314" s="3" t="s">
        <v>1598</v>
      </c>
      <c r="C314" s="1" t="s">
        <v>1206</v>
      </c>
      <c r="D314" t="str">
        <f t="shared" si="11"/>
        <v>elytra-459</v>
      </c>
      <c r="E314" t="str">
        <f t="shared" si="10"/>
        <v>ROD-SF-elytra-459</v>
      </c>
      <c r="F314" s="10" t="s">
        <v>26</v>
      </c>
      <c r="G314" s="39" t="s">
        <v>1331</v>
      </c>
    </row>
    <row r="315" spans="1:7" ht="15.75">
      <c r="A315" s="1">
        <v>314</v>
      </c>
      <c r="B315" s="3" t="s">
        <v>1599</v>
      </c>
      <c r="C315" s="1" t="s">
        <v>1206</v>
      </c>
      <c r="D315" t="str">
        <f t="shared" si="11"/>
        <v>elytra-460</v>
      </c>
      <c r="E315" t="str">
        <f t="shared" si="10"/>
        <v>ROD-SF-elytra-460</v>
      </c>
      <c r="F315" s="10" t="s">
        <v>26</v>
      </c>
      <c r="G315" s="39" t="s">
        <v>1331</v>
      </c>
    </row>
    <row r="316" spans="1:7" ht="15.75">
      <c r="A316" s="1">
        <v>315</v>
      </c>
      <c r="B316" s="3" t="s">
        <v>1600</v>
      </c>
      <c r="C316" s="1" t="s">
        <v>1206</v>
      </c>
      <c r="D316" t="str">
        <f t="shared" si="11"/>
        <v>elytra-461</v>
      </c>
      <c r="E316" t="str">
        <f t="shared" si="10"/>
        <v>ROD-SF-elytra-461</v>
      </c>
      <c r="F316" s="10" t="s">
        <v>26</v>
      </c>
      <c r="G316" s="39" t="s">
        <v>1331</v>
      </c>
    </row>
    <row r="317" spans="1:7" ht="15.75">
      <c r="A317" s="1">
        <v>316</v>
      </c>
      <c r="B317" s="3" t="s">
        <v>1601</v>
      </c>
      <c r="C317" s="1" t="s">
        <v>1206</v>
      </c>
      <c r="D317" t="str">
        <f t="shared" si="11"/>
        <v>elytra-462</v>
      </c>
      <c r="E317" t="str">
        <f t="shared" si="10"/>
        <v>ROD-SF-elytra-462</v>
      </c>
      <c r="F317" s="10" t="s">
        <v>26</v>
      </c>
      <c r="G317" s="39" t="s">
        <v>1331</v>
      </c>
    </row>
    <row r="318" spans="1:7" ht="15.75">
      <c r="A318" s="1">
        <v>317</v>
      </c>
      <c r="B318" s="3" t="s">
        <v>1602</v>
      </c>
      <c r="C318" s="1" t="s">
        <v>1206</v>
      </c>
      <c r="D318" t="str">
        <f t="shared" si="11"/>
        <v>elytra-463</v>
      </c>
      <c r="E318" t="str">
        <f t="shared" si="10"/>
        <v>ROD-SF-elytra-463</v>
      </c>
      <c r="F318" s="10" t="s">
        <v>35</v>
      </c>
      <c r="G318" s="39" t="s">
        <v>1331</v>
      </c>
    </row>
    <row r="319" spans="1:7" ht="15.75">
      <c r="A319" s="1">
        <v>318</v>
      </c>
      <c r="B319" s="3" t="s">
        <v>1603</v>
      </c>
      <c r="C319" s="1" t="s">
        <v>1206</v>
      </c>
      <c r="D319" t="str">
        <f t="shared" si="11"/>
        <v>elytra-464</v>
      </c>
      <c r="E319" t="str">
        <f t="shared" si="10"/>
        <v>ROD-SF-elytra-464</v>
      </c>
      <c r="F319" s="10" t="s">
        <v>26</v>
      </c>
      <c r="G319" s="39" t="s">
        <v>1331</v>
      </c>
    </row>
    <row r="320" spans="1:7" ht="15.75">
      <c r="A320" s="1">
        <v>319</v>
      </c>
      <c r="B320" s="3" t="s">
        <v>1604</v>
      </c>
      <c r="C320" s="1" t="s">
        <v>1206</v>
      </c>
      <c r="D320" t="str">
        <f t="shared" si="11"/>
        <v>elytra-465</v>
      </c>
      <c r="E320" t="str">
        <f t="shared" si="10"/>
        <v>ROD-SF-elytra-465</v>
      </c>
      <c r="F320" s="10" t="s">
        <v>35</v>
      </c>
      <c r="G320" s="39" t="s">
        <v>1331</v>
      </c>
    </row>
    <row r="321" spans="1:7" ht="15.75">
      <c r="A321" s="1">
        <v>320</v>
      </c>
      <c r="B321" s="3" t="s">
        <v>1605</v>
      </c>
      <c r="C321" s="1" t="s">
        <v>1206</v>
      </c>
      <c r="D321" t="str">
        <f t="shared" si="11"/>
        <v>elytra-466</v>
      </c>
      <c r="E321" t="str">
        <f t="shared" si="10"/>
        <v>ROD-SF-elytra-466</v>
      </c>
      <c r="F321" s="10" t="s">
        <v>35</v>
      </c>
      <c r="G321" s="39" t="s">
        <v>1331</v>
      </c>
    </row>
    <row r="322" spans="1:7" ht="15.75">
      <c r="A322" s="1">
        <v>321</v>
      </c>
      <c r="B322" s="3" t="s">
        <v>1606</v>
      </c>
      <c r="C322" s="1" t="s">
        <v>1206</v>
      </c>
      <c r="D322" t="str">
        <f t="shared" si="11"/>
        <v>elytra-467</v>
      </c>
      <c r="E322" t="str">
        <f t="shared" si="10"/>
        <v>ROD-SF-elytra-467</v>
      </c>
      <c r="F322" s="10" t="s">
        <v>35</v>
      </c>
      <c r="G322" s="39" t="s">
        <v>1331</v>
      </c>
    </row>
    <row r="323" spans="1:7" ht="15.75">
      <c r="A323" s="1">
        <v>322</v>
      </c>
      <c r="B323" s="3" t="s">
        <v>1607</v>
      </c>
      <c r="C323" s="1" t="s">
        <v>1206</v>
      </c>
      <c r="D323" t="str">
        <f t="shared" si="11"/>
        <v>elytra-468</v>
      </c>
      <c r="E323" t="str">
        <f t="shared" si="10"/>
        <v>ROD-SF-elytra-468</v>
      </c>
      <c r="F323" s="10" t="s">
        <v>35</v>
      </c>
      <c r="G323" s="39" t="s">
        <v>1331</v>
      </c>
    </row>
    <row r="324" spans="1:7" ht="15.75">
      <c r="A324" s="1">
        <v>323</v>
      </c>
      <c r="B324" s="3" t="s">
        <v>1608</v>
      </c>
      <c r="C324" s="1" t="s">
        <v>1206</v>
      </c>
      <c r="D324" t="str">
        <f t="shared" si="11"/>
        <v>elytra-469</v>
      </c>
      <c r="E324" t="str">
        <f t="shared" si="10"/>
        <v>ROD-SF-elytra-469</v>
      </c>
      <c r="F324" s="10" t="s">
        <v>26</v>
      </c>
      <c r="G324" s="39" t="s">
        <v>1331</v>
      </c>
    </row>
    <row r="325" spans="1:7" ht="15.75">
      <c r="A325" s="1">
        <v>324</v>
      </c>
      <c r="B325" s="3" t="s">
        <v>1609</v>
      </c>
      <c r="C325" s="1" t="s">
        <v>1206</v>
      </c>
      <c r="D325" t="str">
        <f t="shared" si="11"/>
        <v>elytra-470</v>
      </c>
      <c r="E325" t="str">
        <f t="shared" si="10"/>
        <v>ROD-SF-elytra-470</v>
      </c>
      <c r="F325" s="10" t="s">
        <v>35</v>
      </c>
      <c r="G325" s="39" t="s">
        <v>1331</v>
      </c>
    </row>
    <row r="326" spans="1:7" ht="15.75">
      <c r="A326" s="1">
        <v>325</v>
      </c>
      <c r="B326" s="3" t="s">
        <v>1610</v>
      </c>
      <c r="C326" s="1" t="s">
        <v>1206</v>
      </c>
      <c r="D326" t="str">
        <f t="shared" si="11"/>
        <v>elytra-471</v>
      </c>
      <c r="E326" t="str">
        <f t="shared" si="10"/>
        <v>ROD-SF-elytra-471</v>
      </c>
      <c r="F326" s="10" t="s">
        <v>26</v>
      </c>
      <c r="G326" s="39" t="s">
        <v>1331</v>
      </c>
    </row>
    <row r="327" spans="1:7" ht="15.75">
      <c r="A327" s="1">
        <v>326</v>
      </c>
      <c r="B327" s="3" t="s">
        <v>1611</v>
      </c>
      <c r="C327" s="1" t="s">
        <v>1206</v>
      </c>
      <c r="D327" t="str">
        <f t="shared" si="11"/>
        <v>elytra-472</v>
      </c>
      <c r="E327" t="str">
        <f t="shared" si="10"/>
        <v>ROD-SF-elytra-472</v>
      </c>
      <c r="F327" s="10" t="s">
        <v>35</v>
      </c>
      <c r="G327" s="39" t="s">
        <v>1331</v>
      </c>
    </row>
    <row r="328" spans="1:7" ht="15.75">
      <c r="A328" s="1">
        <v>327</v>
      </c>
      <c r="B328" s="3" t="s">
        <v>1612</v>
      </c>
      <c r="C328" s="1" t="s">
        <v>1206</v>
      </c>
      <c r="D328" t="str">
        <f t="shared" si="11"/>
        <v>elytra-473</v>
      </c>
      <c r="E328" t="str">
        <f t="shared" si="10"/>
        <v>ROD-SF-elytra-473</v>
      </c>
      <c r="F328" s="10" t="s">
        <v>26</v>
      </c>
      <c r="G328" s="39" t="s">
        <v>1331</v>
      </c>
    </row>
    <row r="329" spans="1:7" ht="15.75">
      <c r="A329" s="1">
        <v>328</v>
      </c>
      <c r="B329" s="3" t="s">
        <v>1613</v>
      </c>
      <c r="C329" s="1" t="s">
        <v>1206</v>
      </c>
      <c r="D329" t="str">
        <f t="shared" si="11"/>
        <v>elytra-474</v>
      </c>
      <c r="E329" t="str">
        <f t="shared" si="10"/>
        <v>ROD-SF-elytra-474</v>
      </c>
      <c r="F329" s="10" t="s">
        <v>35</v>
      </c>
      <c r="G329" s="39" t="s">
        <v>1331</v>
      </c>
    </row>
    <row r="330" spans="1:7" ht="15.75">
      <c r="A330" s="1">
        <v>329</v>
      </c>
      <c r="B330" s="3" t="s">
        <v>1614</v>
      </c>
      <c r="C330" s="1" t="s">
        <v>1206</v>
      </c>
      <c r="D330" t="str">
        <f t="shared" si="11"/>
        <v>elytra-475</v>
      </c>
      <c r="E330" t="str">
        <f t="shared" si="10"/>
        <v>ROD-SF-elytra-475</v>
      </c>
      <c r="F330" s="10" t="s">
        <v>35</v>
      </c>
      <c r="G330" s="39" t="s">
        <v>1331</v>
      </c>
    </row>
    <row r="331" spans="1:7" ht="15.75">
      <c r="A331" s="1">
        <v>330</v>
      </c>
      <c r="B331" s="3" t="s">
        <v>1615</v>
      </c>
      <c r="C331" s="1" t="s">
        <v>1206</v>
      </c>
      <c r="D331" t="str">
        <f t="shared" si="11"/>
        <v>elytra-476</v>
      </c>
      <c r="E331" t="str">
        <f t="shared" si="10"/>
        <v>ROD-SF-elytra-476</v>
      </c>
      <c r="F331" s="10" t="s">
        <v>35</v>
      </c>
      <c r="G331" s="39" t="s">
        <v>1331</v>
      </c>
    </row>
    <row r="332" spans="1:7" ht="15.75">
      <c r="A332" s="1">
        <v>331</v>
      </c>
      <c r="B332" s="3" t="s">
        <v>1616</v>
      </c>
      <c r="C332" s="1" t="s">
        <v>1206</v>
      </c>
      <c r="D332" t="str">
        <f t="shared" si="11"/>
        <v>elytra-477</v>
      </c>
      <c r="E332" t="str">
        <f t="shared" si="10"/>
        <v>ROD-SF-elytra-477</v>
      </c>
      <c r="F332" s="10" t="s">
        <v>26</v>
      </c>
      <c r="G332" s="39" t="s">
        <v>1331</v>
      </c>
    </row>
    <row r="333" spans="1:7" ht="15.75">
      <c r="A333" s="1">
        <v>332</v>
      </c>
      <c r="B333" s="3" t="s">
        <v>1617</v>
      </c>
      <c r="C333" s="1" t="s">
        <v>1206</v>
      </c>
      <c r="D333" t="str">
        <f t="shared" si="11"/>
        <v>elytra-478</v>
      </c>
      <c r="E333" t="str">
        <f t="shared" si="10"/>
        <v>ROD-SF-elytra-478</v>
      </c>
      <c r="F333" s="10" t="s">
        <v>26</v>
      </c>
      <c r="G333" s="39" t="s">
        <v>1331</v>
      </c>
    </row>
    <row r="334" spans="1:7" ht="15.75">
      <c r="A334" s="1">
        <v>333</v>
      </c>
      <c r="B334" s="3" t="s">
        <v>1618</v>
      </c>
      <c r="C334" s="1" t="s">
        <v>1206</v>
      </c>
      <c r="D334" t="str">
        <f t="shared" si="11"/>
        <v>elytra-479</v>
      </c>
      <c r="E334" t="str">
        <f t="shared" ref="E334:E397" si="12">C334&amp;D334</f>
        <v>ROD-SF-elytra-479</v>
      </c>
      <c r="F334" s="10" t="s">
        <v>35</v>
      </c>
      <c r="G334" s="39" t="s">
        <v>1331</v>
      </c>
    </row>
    <row r="335" spans="1:7" ht="15.75">
      <c r="A335" s="1">
        <v>334</v>
      </c>
      <c r="B335" s="3" t="s">
        <v>1619</v>
      </c>
      <c r="C335" s="1" t="s">
        <v>1206</v>
      </c>
      <c r="D335" t="str">
        <f t="shared" si="11"/>
        <v>elytra-480</v>
      </c>
      <c r="E335" t="str">
        <f t="shared" si="12"/>
        <v>ROD-SF-elytra-480</v>
      </c>
      <c r="F335" s="10" t="s">
        <v>35</v>
      </c>
      <c r="G335" s="39" t="s">
        <v>1331</v>
      </c>
    </row>
    <row r="336" spans="1:7" ht="15.75">
      <c r="A336" s="1">
        <v>335</v>
      </c>
      <c r="B336" s="3" t="s">
        <v>1620</v>
      </c>
      <c r="C336" s="1" t="s">
        <v>1206</v>
      </c>
      <c r="D336" t="str">
        <f t="shared" si="11"/>
        <v>elytra-481</v>
      </c>
      <c r="E336" t="str">
        <f t="shared" si="12"/>
        <v>ROD-SF-elytra-481</v>
      </c>
      <c r="F336" s="10" t="s">
        <v>26</v>
      </c>
      <c r="G336" s="39" t="s">
        <v>1331</v>
      </c>
    </row>
    <row r="337" spans="1:7" ht="15.75">
      <c r="A337" s="1">
        <v>336</v>
      </c>
      <c r="B337" s="3" t="s">
        <v>1621</v>
      </c>
      <c r="C337" s="1" t="s">
        <v>1206</v>
      </c>
      <c r="D337" t="str">
        <f t="shared" si="11"/>
        <v>elytra-482</v>
      </c>
      <c r="E337" t="str">
        <f t="shared" si="12"/>
        <v>ROD-SF-elytra-482</v>
      </c>
      <c r="F337" s="10" t="s">
        <v>35</v>
      </c>
      <c r="G337" s="39" t="s">
        <v>1331</v>
      </c>
    </row>
    <row r="338" spans="1:7" ht="15.75">
      <c r="A338" s="1">
        <v>337</v>
      </c>
      <c r="B338" s="3" t="s">
        <v>1622</v>
      </c>
      <c r="C338" s="1" t="s">
        <v>1206</v>
      </c>
      <c r="D338" t="str">
        <f t="shared" si="11"/>
        <v>elytra-483</v>
      </c>
      <c r="E338" t="str">
        <f t="shared" si="12"/>
        <v>ROD-SF-elytra-483</v>
      </c>
      <c r="F338" s="10" t="s">
        <v>35</v>
      </c>
      <c r="G338" s="39" t="s">
        <v>1331</v>
      </c>
    </row>
    <row r="339" spans="1:7" ht="15.75">
      <c r="A339" s="1">
        <v>338</v>
      </c>
      <c r="B339" s="3" t="s">
        <v>1623</v>
      </c>
      <c r="C339" s="1" t="s">
        <v>1206</v>
      </c>
      <c r="D339" t="str">
        <f t="shared" si="11"/>
        <v>elytra-484</v>
      </c>
      <c r="E339" t="str">
        <f t="shared" si="12"/>
        <v>ROD-SF-elytra-484</v>
      </c>
      <c r="F339" s="10" t="s">
        <v>26</v>
      </c>
      <c r="G339" s="39" t="s">
        <v>1331</v>
      </c>
    </row>
    <row r="340" spans="1:7" ht="15.75">
      <c r="A340" s="1">
        <v>339</v>
      </c>
      <c r="B340" s="3" t="s">
        <v>1624</v>
      </c>
      <c r="C340" s="1" t="s">
        <v>1206</v>
      </c>
      <c r="D340" t="str">
        <f t="shared" si="11"/>
        <v>elytra-485</v>
      </c>
      <c r="E340" t="str">
        <f t="shared" si="12"/>
        <v>ROD-SF-elytra-485</v>
      </c>
      <c r="F340" s="10" t="s">
        <v>26</v>
      </c>
      <c r="G340" s="39" t="s">
        <v>1331</v>
      </c>
    </row>
    <row r="341" spans="1:7" ht="15.75">
      <c r="A341" s="1">
        <v>340</v>
      </c>
      <c r="B341" s="3" t="s">
        <v>1625</v>
      </c>
      <c r="C341" s="1" t="s">
        <v>1206</v>
      </c>
      <c r="D341" t="str">
        <f t="shared" si="11"/>
        <v>elytra-486</v>
      </c>
      <c r="E341" t="str">
        <f t="shared" si="12"/>
        <v>ROD-SF-elytra-486</v>
      </c>
      <c r="F341" s="10" t="s">
        <v>26</v>
      </c>
      <c r="G341" s="39" t="s">
        <v>1331</v>
      </c>
    </row>
    <row r="342" spans="1:7" ht="15.75">
      <c r="A342" s="1">
        <v>341</v>
      </c>
      <c r="B342" s="3" t="s">
        <v>1626</v>
      </c>
      <c r="C342" s="1" t="s">
        <v>1206</v>
      </c>
      <c r="D342" t="str">
        <f t="shared" si="11"/>
        <v>elytra-487</v>
      </c>
      <c r="E342" t="str">
        <f t="shared" si="12"/>
        <v>ROD-SF-elytra-487</v>
      </c>
      <c r="F342" s="10" t="s">
        <v>26</v>
      </c>
      <c r="G342" s="39" t="s">
        <v>1331</v>
      </c>
    </row>
    <row r="343" spans="1:7" ht="15.75">
      <c r="A343" s="1">
        <v>342</v>
      </c>
      <c r="B343" s="3" t="s">
        <v>1627</v>
      </c>
      <c r="C343" s="1" t="s">
        <v>1206</v>
      </c>
      <c r="D343" t="str">
        <f t="shared" si="11"/>
        <v>elytra-488</v>
      </c>
      <c r="E343" t="str">
        <f t="shared" si="12"/>
        <v>ROD-SF-elytra-488</v>
      </c>
      <c r="F343" s="10" t="s">
        <v>26</v>
      </c>
      <c r="G343" s="39" t="s">
        <v>1331</v>
      </c>
    </row>
    <row r="344" spans="1:7" ht="15.75">
      <c r="A344" s="1">
        <v>343</v>
      </c>
      <c r="B344" s="3" t="s">
        <v>1628</v>
      </c>
      <c r="C344" s="1" t="s">
        <v>1206</v>
      </c>
      <c r="D344" t="str">
        <f t="shared" si="11"/>
        <v>elytra-489</v>
      </c>
      <c r="E344" t="str">
        <f t="shared" si="12"/>
        <v>ROD-SF-elytra-489</v>
      </c>
      <c r="F344" s="10" t="s">
        <v>26</v>
      </c>
      <c r="G344" s="39" t="s">
        <v>1331</v>
      </c>
    </row>
    <row r="345" spans="1:7" ht="15.75">
      <c r="A345" s="1">
        <v>344</v>
      </c>
      <c r="B345" s="3" t="s">
        <v>1629</v>
      </c>
      <c r="C345" s="1" t="s">
        <v>1206</v>
      </c>
      <c r="D345" t="str">
        <f t="shared" si="11"/>
        <v>elytra-490</v>
      </c>
      <c r="E345" t="str">
        <f t="shared" si="12"/>
        <v>ROD-SF-elytra-490</v>
      </c>
      <c r="F345" s="10" t="s">
        <v>26</v>
      </c>
      <c r="G345" s="39" t="s">
        <v>1331</v>
      </c>
    </row>
    <row r="346" spans="1:7" ht="15.75">
      <c r="A346" s="1">
        <v>345</v>
      </c>
      <c r="B346" s="3" t="s">
        <v>1630</v>
      </c>
      <c r="C346" s="1" t="s">
        <v>1206</v>
      </c>
      <c r="D346" t="str">
        <f t="shared" si="11"/>
        <v>elytra-491</v>
      </c>
      <c r="E346" t="str">
        <f t="shared" si="12"/>
        <v>ROD-SF-elytra-491</v>
      </c>
      <c r="F346" s="10" t="s">
        <v>26</v>
      </c>
      <c r="G346" s="39" t="s">
        <v>1331</v>
      </c>
    </row>
    <row r="347" spans="1:7" ht="15.75">
      <c r="A347" s="1">
        <v>346</v>
      </c>
      <c r="B347" s="3" t="s">
        <v>1631</v>
      </c>
      <c r="C347" s="1" t="s">
        <v>1206</v>
      </c>
      <c r="D347" t="str">
        <f t="shared" si="11"/>
        <v>elytra-492</v>
      </c>
      <c r="E347" t="str">
        <f t="shared" si="12"/>
        <v>ROD-SF-elytra-492</v>
      </c>
      <c r="F347" s="10" t="s">
        <v>26</v>
      </c>
      <c r="G347" s="39" t="s">
        <v>1331</v>
      </c>
    </row>
    <row r="348" spans="1:7" ht="15.75">
      <c r="A348" s="1">
        <v>347</v>
      </c>
      <c r="B348" s="3" t="s">
        <v>1632</v>
      </c>
      <c r="C348" s="1" t="s">
        <v>1206</v>
      </c>
      <c r="D348" t="str">
        <f t="shared" si="11"/>
        <v>elytra-493</v>
      </c>
      <c r="E348" t="str">
        <f t="shared" si="12"/>
        <v>ROD-SF-elytra-493</v>
      </c>
      <c r="F348" s="10" t="s">
        <v>35</v>
      </c>
      <c r="G348" s="39" t="s">
        <v>1331</v>
      </c>
    </row>
    <row r="349" spans="1:7" ht="15.75">
      <c r="A349" s="1">
        <v>348</v>
      </c>
      <c r="B349" s="3" t="s">
        <v>1633</v>
      </c>
      <c r="C349" s="1" t="s">
        <v>1206</v>
      </c>
      <c r="D349" t="str">
        <f t="shared" si="11"/>
        <v>elytra-494</v>
      </c>
      <c r="E349" t="str">
        <f t="shared" si="12"/>
        <v>ROD-SF-elytra-494</v>
      </c>
      <c r="F349" s="10" t="s">
        <v>35</v>
      </c>
      <c r="G349" s="39" t="s">
        <v>1331</v>
      </c>
    </row>
    <row r="350" spans="1:7" ht="15.75">
      <c r="A350" s="1">
        <v>349</v>
      </c>
      <c r="B350" s="3" t="s">
        <v>1634</v>
      </c>
      <c r="C350" s="1" t="s">
        <v>1206</v>
      </c>
      <c r="D350" t="str">
        <f t="shared" si="11"/>
        <v>elytra-495</v>
      </c>
      <c r="E350" t="str">
        <f t="shared" si="12"/>
        <v>ROD-SF-elytra-495</v>
      </c>
      <c r="F350" s="10" t="s">
        <v>26</v>
      </c>
      <c r="G350" s="39" t="s">
        <v>1331</v>
      </c>
    </row>
    <row r="351" spans="1:7" ht="15.75">
      <c r="A351" s="1">
        <v>350</v>
      </c>
      <c r="B351" s="3" t="s">
        <v>1635</v>
      </c>
      <c r="C351" s="1" t="s">
        <v>1206</v>
      </c>
      <c r="D351" t="str">
        <f t="shared" si="11"/>
        <v>elytra-496</v>
      </c>
      <c r="E351" t="str">
        <f t="shared" si="12"/>
        <v>ROD-SF-elytra-496</v>
      </c>
      <c r="F351" s="10" t="s">
        <v>26</v>
      </c>
      <c r="G351" s="39" t="s">
        <v>1331</v>
      </c>
    </row>
    <row r="352" spans="1:7" ht="15.75">
      <c r="A352" s="1">
        <v>351</v>
      </c>
      <c r="B352" s="3" t="s">
        <v>1636</v>
      </c>
      <c r="C352" s="1" t="s">
        <v>1206</v>
      </c>
      <c r="D352" t="str">
        <f t="shared" si="11"/>
        <v>elytra-497</v>
      </c>
      <c r="E352" t="str">
        <f t="shared" si="12"/>
        <v>ROD-SF-elytra-497</v>
      </c>
      <c r="F352" s="10" t="s">
        <v>26</v>
      </c>
      <c r="G352" s="39" t="s">
        <v>1331</v>
      </c>
    </row>
    <row r="353" spans="1:7" ht="15.75">
      <c r="A353" s="1">
        <v>352</v>
      </c>
      <c r="B353" s="3" t="s">
        <v>1637</v>
      </c>
      <c r="C353" s="1" t="s">
        <v>1206</v>
      </c>
      <c r="D353" t="str">
        <f t="shared" si="11"/>
        <v>elytra-498</v>
      </c>
      <c r="E353" t="str">
        <f t="shared" si="12"/>
        <v>ROD-SF-elytra-498</v>
      </c>
      <c r="F353" s="10" t="s">
        <v>26</v>
      </c>
      <c r="G353" s="39" t="s">
        <v>1331</v>
      </c>
    </row>
    <row r="354" spans="1:7" ht="15.75">
      <c r="A354" s="1">
        <v>353</v>
      </c>
      <c r="B354" s="3" t="s">
        <v>1638</v>
      </c>
      <c r="C354" s="1" t="s">
        <v>1206</v>
      </c>
      <c r="D354" t="str">
        <f t="shared" si="11"/>
        <v>elytra-499</v>
      </c>
      <c r="E354" t="str">
        <f t="shared" si="12"/>
        <v>ROD-SF-elytra-499</v>
      </c>
      <c r="F354" s="10" t="s">
        <v>26</v>
      </c>
      <c r="G354" s="39" t="s">
        <v>1331</v>
      </c>
    </row>
    <row r="355" spans="1:7" ht="15.75">
      <c r="A355" s="1">
        <v>354</v>
      </c>
      <c r="B355" s="3" t="s">
        <v>1639</v>
      </c>
      <c r="C355" s="1" t="s">
        <v>1206</v>
      </c>
      <c r="D355" t="str">
        <f t="shared" si="11"/>
        <v>elytra-500</v>
      </c>
      <c r="E355" t="str">
        <f t="shared" si="12"/>
        <v>ROD-SF-elytra-500</v>
      </c>
      <c r="F355" s="10" t="s">
        <v>26</v>
      </c>
      <c r="G355" s="39" t="s">
        <v>1331</v>
      </c>
    </row>
    <row r="356" spans="1:7" ht="15.75">
      <c r="A356" s="1">
        <v>355</v>
      </c>
      <c r="B356" s="3" t="s">
        <v>1640</v>
      </c>
      <c r="C356" s="1" t="s">
        <v>1206</v>
      </c>
      <c r="D356" t="str">
        <f t="shared" si="11"/>
        <v>elytra-501</v>
      </c>
      <c r="E356" t="str">
        <f t="shared" si="12"/>
        <v>ROD-SF-elytra-501</v>
      </c>
      <c r="F356" s="10" t="s">
        <v>26</v>
      </c>
      <c r="G356" s="39" t="s">
        <v>1331</v>
      </c>
    </row>
    <row r="357" spans="1:7" ht="15.75">
      <c r="A357" s="1">
        <v>356</v>
      </c>
      <c r="B357" s="3" t="s">
        <v>1641</v>
      </c>
      <c r="C357" s="1" t="s">
        <v>1206</v>
      </c>
      <c r="D357" t="str">
        <f t="shared" ref="D357:D420" si="13">RIGHT(B357,10)</f>
        <v>elytra-502</v>
      </c>
      <c r="E357" t="str">
        <f t="shared" si="12"/>
        <v>ROD-SF-elytra-502</v>
      </c>
      <c r="F357" s="10" t="s">
        <v>26</v>
      </c>
      <c r="G357" s="39" t="s">
        <v>1331</v>
      </c>
    </row>
    <row r="358" spans="1:7" ht="15.75">
      <c r="A358" s="1">
        <v>357</v>
      </c>
      <c r="B358" s="3" t="s">
        <v>1642</v>
      </c>
      <c r="C358" s="1" t="s">
        <v>1206</v>
      </c>
      <c r="D358" t="str">
        <f t="shared" si="13"/>
        <v>elytra-503</v>
      </c>
      <c r="E358" t="str">
        <f t="shared" si="12"/>
        <v>ROD-SF-elytra-503</v>
      </c>
      <c r="F358" s="10" t="s">
        <v>26</v>
      </c>
      <c r="G358" s="39" t="s">
        <v>1331</v>
      </c>
    </row>
    <row r="359" spans="1:7" ht="15.75">
      <c r="A359" s="1">
        <v>358</v>
      </c>
      <c r="B359" s="3" t="s">
        <v>1643</v>
      </c>
      <c r="C359" s="1" t="s">
        <v>1206</v>
      </c>
      <c r="D359" t="str">
        <f t="shared" si="13"/>
        <v>elytra-504</v>
      </c>
      <c r="E359" t="str">
        <f t="shared" si="12"/>
        <v>ROD-SF-elytra-504</v>
      </c>
      <c r="F359" s="10" t="s">
        <v>35</v>
      </c>
      <c r="G359" s="39" t="s">
        <v>1331</v>
      </c>
    </row>
    <row r="360" spans="1:7" ht="15.75">
      <c r="A360" s="1">
        <v>359</v>
      </c>
      <c r="B360" s="3" t="s">
        <v>1644</v>
      </c>
      <c r="C360" s="1" t="s">
        <v>1206</v>
      </c>
      <c r="D360" t="str">
        <f t="shared" si="13"/>
        <v>elytra-505</v>
      </c>
      <c r="E360" t="str">
        <f t="shared" si="12"/>
        <v>ROD-SF-elytra-505</v>
      </c>
      <c r="F360" s="10" t="s">
        <v>35</v>
      </c>
      <c r="G360" s="39" t="s">
        <v>1331</v>
      </c>
    </row>
    <row r="361" spans="1:7" ht="15.75">
      <c r="A361" s="1">
        <v>360</v>
      </c>
      <c r="B361" s="3" t="s">
        <v>1645</v>
      </c>
      <c r="C361" s="1" t="s">
        <v>1206</v>
      </c>
      <c r="D361" t="str">
        <f t="shared" si="13"/>
        <v>elytra-506</v>
      </c>
      <c r="E361" t="str">
        <f t="shared" si="12"/>
        <v>ROD-SF-elytra-506</v>
      </c>
      <c r="F361" s="10" t="s">
        <v>35</v>
      </c>
      <c r="G361" s="39" t="s">
        <v>1331</v>
      </c>
    </row>
    <row r="362" spans="1:7" ht="15.75">
      <c r="A362" s="1">
        <v>361</v>
      </c>
      <c r="B362" s="3" t="s">
        <v>1646</v>
      </c>
      <c r="C362" s="1" t="s">
        <v>1206</v>
      </c>
      <c r="D362" t="str">
        <f t="shared" si="13"/>
        <v>elytra-507</v>
      </c>
      <c r="E362" t="str">
        <f t="shared" si="12"/>
        <v>ROD-SF-elytra-507</v>
      </c>
      <c r="F362" s="10" t="s">
        <v>35</v>
      </c>
      <c r="G362" s="39" t="s">
        <v>1331</v>
      </c>
    </row>
    <row r="363" spans="1:7" ht="15.75">
      <c r="A363" s="1">
        <v>362</v>
      </c>
      <c r="B363" s="3" t="s">
        <v>1647</v>
      </c>
      <c r="C363" s="1" t="s">
        <v>1206</v>
      </c>
      <c r="D363" t="str">
        <f t="shared" si="13"/>
        <v>elytra-508</v>
      </c>
      <c r="E363" t="str">
        <f t="shared" si="12"/>
        <v>ROD-SF-elytra-508</v>
      </c>
      <c r="F363" s="10" t="s">
        <v>35</v>
      </c>
      <c r="G363" s="39" t="s">
        <v>1331</v>
      </c>
    </row>
    <row r="364" spans="1:7" ht="15.75">
      <c r="A364" s="1">
        <v>363</v>
      </c>
      <c r="B364" s="3" t="s">
        <v>1648</v>
      </c>
      <c r="C364" s="1" t="s">
        <v>1206</v>
      </c>
      <c r="D364" t="str">
        <f t="shared" si="13"/>
        <v>elytra-509</v>
      </c>
      <c r="E364" t="str">
        <f t="shared" si="12"/>
        <v>ROD-SF-elytra-509</v>
      </c>
      <c r="F364" s="10" t="s">
        <v>35</v>
      </c>
      <c r="G364" s="39" t="s">
        <v>1331</v>
      </c>
    </row>
    <row r="365" spans="1:7" ht="15.75">
      <c r="A365" s="1">
        <v>364</v>
      </c>
      <c r="B365" s="3" t="s">
        <v>1649</v>
      </c>
      <c r="C365" s="1" t="s">
        <v>1206</v>
      </c>
      <c r="D365" t="str">
        <f t="shared" si="13"/>
        <v>elytra-510</v>
      </c>
      <c r="E365" t="str">
        <f t="shared" si="12"/>
        <v>ROD-SF-elytra-510</v>
      </c>
      <c r="F365" s="10" t="s">
        <v>26</v>
      </c>
      <c r="G365" s="39" t="s">
        <v>1331</v>
      </c>
    </row>
    <row r="366" spans="1:7" ht="15.75">
      <c r="A366" s="1">
        <v>365</v>
      </c>
      <c r="B366" s="3" t="s">
        <v>1650</v>
      </c>
      <c r="C366" s="1" t="s">
        <v>1206</v>
      </c>
      <c r="D366" t="str">
        <f t="shared" si="13"/>
        <v>elytra-511</v>
      </c>
      <c r="E366" t="str">
        <f t="shared" si="12"/>
        <v>ROD-SF-elytra-511</v>
      </c>
      <c r="F366" s="10" t="s">
        <v>35</v>
      </c>
      <c r="G366" s="39" t="s">
        <v>1331</v>
      </c>
    </row>
    <row r="367" spans="1:7" ht="15.75">
      <c r="A367" s="1">
        <v>366</v>
      </c>
      <c r="B367" s="3" t="s">
        <v>1651</v>
      </c>
      <c r="C367" s="1" t="s">
        <v>1206</v>
      </c>
      <c r="D367" t="str">
        <f t="shared" si="13"/>
        <v>elytra-512</v>
      </c>
      <c r="E367" t="str">
        <f t="shared" si="12"/>
        <v>ROD-SF-elytra-512</v>
      </c>
      <c r="F367" s="10" t="s">
        <v>26</v>
      </c>
      <c r="G367" s="39" t="s">
        <v>1331</v>
      </c>
    </row>
    <row r="368" spans="1:7" ht="15.75">
      <c r="A368" s="1">
        <v>367</v>
      </c>
      <c r="B368" s="3" t="s">
        <v>1652</v>
      </c>
      <c r="C368" s="1" t="s">
        <v>1206</v>
      </c>
      <c r="D368" t="str">
        <f t="shared" si="13"/>
        <v>elytra-513</v>
      </c>
      <c r="E368" t="str">
        <f t="shared" si="12"/>
        <v>ROD-SF-elytra-513</v>
      </c>
      <c r="F368" s="10" t="s">
        <v>35</v>
      </c>
      <c r="G368" s="39" t="s">
        <v>1331</v>
      </c>
    </row>
    <row r="369" spans="1:7" ht="15.75">
      <c r="A369" s="1">
        <v>368</v>
      </c>
      <c r="B369" s="3" t="s">
        <v>1653</v>
      </c>
      <c r="C369" s="1" t="s">
        <v>1206</v>
      </c>
      <c r="D369" t="str">
        <f t="shared" si="13"/>
        <v>elytra-514</v>
      </c>
      <c r="E369" t="str">
        <f t="shared" si="12"/>
        <v>ROD-SF-elytra-514</v>
      </c>
      <c r="F369" s="10" t="s">
        <v>35</v>
      </c>
      <c r="G369" s="39" t="s">
        <v>1331</v>
      </c>
    </row>
    <row r="370" spans="1:7" ht="15.75">
      <c r="A370" s="1">
        <v>369</v>
      </c>
      <c r="B370" s="3" t="s">
        <v>1654</v>
      </c>
      <c r="C370" s="1" t="s">
        <v>1206</v>
      </c>
      <c r="D370" t="str">
        <f t="shared" si="13"/>
        <v>elytra-515</v>
      </c>
      <c r="E370" t="str">
        <f t="shared" si="12"/>
        <v>ROD-SF-elytra-515</v>
      </c>
      <c r="F370" s="10" t="s">
        <v>35</v>
      </c>
      <c r="G370" s="39" t="s">
        <v>1331</v>
      </c>
    </row>
    <row r="371" spans="1:7" ht="15.75">
      <c r="A371" s="1">
        <v>370</v>
      </c>
      <c r="B371" s="3" t="s">
        <v>1655</v>
      </c>
      <c r="C371" s="1" t="s">
        <v>1206</v>
      </c>
      <c r="D371" t="str">
        <f t="shared" si="13"/>
        <v>elytra-516</v>
      </c>
      <c r="E371" t="str">
        <f t="shared" si="12"/>
        <v>ROD-SF-elytra-516</v>
      </c>
      <c r="F371" s="10" t="s">
        <v>35</v>
      </c>
      <c r="G371" s="39" t="s">
        <v>1331</v>
      </c>
    </row>
    <row r="372" spans="1:7" ht="15.75">
      <c r="A372" s="1">
        <v>371</v>
      </c>
      <c r="B372" s="3" t="s">
        <v>1656</v>
      </c>
      <c r="C372" s="1" t="s">
        <v>1206</v>
      </c>
      <c r="D372" t="str">
        <f t="shared" si="13"/>
        <v>elytra-517</v>
      </c>
      <c r="E372" t="str">
        <f t="shared" si="12"/>
        <v>ROD-SF-elytra-517</v>
      </c>
      <c r="F372" s="10" t="s">
        <v>35</v>
      </c>
      <c r="G372" s="39" t="s">
        <v>1331</v>
      </c>
    </row>
    <row r="373" spans="1:7" ht="15.75">
      <c r="A373" s="1">
        <v>372</v>
      </c>
      <c r="B373" s="3" t="s">
        <v>1657</v>
      </c>
      <c r="C373" s="1" t="s">
        <v>1206</v>
      </c>
      <c r="D373" t="str">
        <f t="shared" si="13"/>
        <v>elytra-518</v>
      </c>
      <c r="E373" t="str">
        <f t="shared" si="12"/>
        <v>ROD-SF-elytra-518</v>
      </c>
      <c r="F373" s="10" t="s">
        <v>35</v>
      </c>
      <c r="G373" s="39" t="s">
        <v>1331</v>
      </c>
    </row>
    <row r="374" spans="1:7" ht="15.75">
      <c r="A374" s="1">
        <v>373</v>
      </c>
      <c r="B374" s="3" t="s">
        <v>1658</v>
      </c>
      <c r="C374" s="1" t="s">
        <v>1206</v>
      </c>
      <c r="D374" t="str">
        <f t="shared" si="13"/>
        <v>elytra-519</v>
      </c>
      <c r="E374" t="str">
        <f t="shared" si="12"/>
        <v>ROD-SF-elytra-519</v>
      </c>
      <c r="F374" s="10" t="s">
        <v>35</v>
      </c>
      <c r="G374" s="39" t="s">
        <v>1331</v>
      </c>
    </row>
    <row r="375" spans="1:7" ht="15.75">
      <c r="A375" s="1">
        <v>374</v>
      </c>
      <c r="B375" s="3" t="s">
        <v>1659</v>
      </c>
      <c r="C375" s="1" t="s">
        <v>1206</v>
      </c>
      <c r="D375" t="str">
        <f t="shared" si="13"/>
        <v>elytra-520</v>
      </c>
      <c r="E375" t="str">
        <f t="shared" si="12"/>
        <v>ROD-SF-elytra-520</v>
      </c>
      <c r="F375" s="10" t="s">
        <v>26</v>
      </c>
      <c r="G375" s="39" t="s">
        <v>1331</v>
      </c>
    </row>
    <row r="376" spans="1:7" ht="15.75">
      <c r="A376" s="1">
        <v>375</v>
      </c>
      <c r="B376" s="3" t="s">
        <v>1660</v>
      </c>
      <c r="C376" s="1" t="s">
        <v>1206</v>
      </c>
      <c r="D376" t="str">
        <f t="shared" si="13"/>
        <v>elytra-521</v>
      </c>
      <c r="E376" t="str">
        <f t="shared" si="12"/>
        <v>ROD-SF-elytra-521</v>
      </c>
      <c r="F376" s="10" t="s">
        <v>26</v>
      </c>
      <c r="G376" s="39" t="s">
        <v>1331</v>
      </c>
    </row>
    <row r="377" spans="1:7" ht="15.75">
      <c r="A377" s="1">
        <v>376</v>
      </c>
      <c r="B377" s="3" t="s">
        <v>1661</v>
      </c>
      <c r="C377" s="1" t="s">
        <v>1206</v>
      </c>
      <c r="D377" t="str">
        <f t="shared" si="13"/>
        <v>elytra-522</v>
      </c>
      <c r="E377" t="str">
        <f t="shared" si="12"/>
        <v>ROD-SF-elytra-522</v>
      </c>
      <c r="F377" s="10" t="s">
        <v>35</v>
      </c>
      <c r="G377" s="39" t="s">
        <v>1331</v>
      </c>
    </row>
    <row r="378" spans="1:7" ht="15.75">
      <c r="A378" s="1">
        <v>377</v>
      </c>
      <c r="B378" s="3" t="s">
        <v>1662</v>
      </c>
      <c r="C378" s="1" t="s">
        <v>1206</v>
      </c>
      <c r="D378" t="str">
        <f t="shared" si="13"/>
        <v>elytra-523</v>
      </c>
      <c r="E378" t="str">
        <f t="shared" si="12"/>
        <v>ROD-SF-elytra-523</v>
      </c>
      <c r="F378" s="10" t="s">
        <v>35</v>
      </c>
      <c r="G378" s="39" t="s">
        <v>1331</v>
      </c>
    </row>
    <row r="379" spans="1:7" ht="15.75">
      <c r="A379" s="1">
        <v>378</v>
      </c>
      <c r="B379" s="3" t="s">
        <v>1663</v>
      </c>
      <c r="C379" s="1" t="s">
        <v>1206</v>
      </c>
      <c r="D379" t="str">
        <f t="shared" si="13"/>
        <v>elytra-524</v>
      </c>
      <c r="E379" t="str">
        <f t="shared" si="12"/>
        <v>ROD-SF-elytra-524</v>
      </c>
      <c r="F379" s="10" t="s">
        <v>35</v>
      </c>
      <c r="G379" s="39" t="s">
        <v>1331</v>
      </c>
    </row>
    <row r="380" spans="1:7" ht="15.75">
      <c r="A380" s="1">
        <v>379</v>
      </c>
      <c r="B380" s="3" t="s">
        <v>1664</v>
      </c>
      <c r="C380" s="1" t="s">
        <v>1206</v>
      </c>
      <c r="D380" t="str">
        <f t="shared" si="13"/>
        <v>elytra-525</v>
      </c>
      <c r="E380" t="str">
        <f t="shared" si="12"/>
        <v>ROD-SF-elytra-525</v>
      </c>
      <c r="F380" s="10" t="s">
        <v>26</v>
      </c>
      <c r="G380" s="39" t="s">
        <v>1331</v>
      </c>
    </row>
    <row r="381" spans="1:7" ht="15.75">
      <c r="A381" s="1">
        <v>380</v>
      </c>
      <c r="B381" s="3" t="s">
        <v>1665</v>
      </c>
      <c r="C381" s="1" t="s">
        <v>1206</v>
      </c>
      <c r="D381" t="str">
        <f t="shared" si="13"/>
        <v>elytra-526</v>
      </c>
      <c r="E381" t="str">
        <f t="shared" si="12"/>
        <v>ROD-SF-elytra-526</v>
      </c>
      <c r="F381" s="10" t="s">
        <v>35</v>
      </c>
      <c r="G381" s="39" t="s">
        <v>1331</v>
      </c>
    </row>
    <row r="382" spans="1:7" ht="15.75">
      <c r="A382" s="1">
        <v>381</v>
      </c>
      <c r="B382" s="3" t="s">
        <v>1666</v>
      </c>
      <c r="C382" s="1" t="s">
        <v>1206</v>
      </c>
      <c r="D382" t="str">
        <f t="shared" si="13"/>
        <v>elytra-527</v>
      </c>
      <c r="E382" t="str">
        <f t="shared" si="12"/>
        <v>ROD-SF-elytra-527</v>
      </c>
      <c r="F382" s="10" t="s">
        <v>26</v>
      </c>
      <c r="G382" s="39" t="s">
        <v>1331</v>
      </c>
    </row>
    <row r="383" spans="1:7" ht="15.75">
      <c r="A383" s="1">
        <v>382</v>
      </c>
      <c r="B383" s="3" t="s">
        <v>1667</v>
      </c>
      <c r="C383" s="1" t="s">
        <v>1206</v>
      </c>
      <c r="D383" t="str">
        <f t="shared" si="13"/>
        <v>elytra-528</v>
      </c>
      <c r="E383" t="str">
        <f t="shared" si="12"/>
        <v>ROD-SF-elytra-528</v>
      </c>
      <c r="F383" s="10" t="s">
        <v>26</v>
      </c>
      <c r="G383" s="39" t="s">
        <v>1331</v>
      </c>
    </row>
    <row r="384" spans="1:7" ht="15.75">
      <c r="A384" s="1">
        <v>383</v>
      </c>
      <c r="B384" s="3" t="s">
        <v>1668</v>
      </c>
      <c r="C384" s="1" t="s">
        <v>1206</v>
      </c>
      <c r="D384" t="str">
        <f t="shared" si="13"/>
        <v>elytra-529</v>
      </c>
      <c r="E384" t="str">
        <f t="shared" si="12"/>
        <v>ROD-SF-elytra-529</v>
      </c>
      <c r="F384" s="10" t="s">
        <v>26</v>
      </c>
      <c r="G384" s="39" t="s">
        <v>1331</v>
      </c>
    </row>
    <row r="385" spans="1:7" ht="15.75">
      <c r="A385" s="1">
        <v>384</v>
      </c>
      <c r="B385" s="3" t="s">
        <v>1669</v>
      </c>
      <c r="C385" s="1" t="s">
        <v>1206</v>
      </c>
      <c r="D385" t="str">
        <f t="shared" si="13"/>
        <v>elytra-530</v>
      </c>
      <c r="E385" t="str">
        <f t="shared" si="12"/>
        <v>ROD-SF-elytra-530</v>
      </c>
      <c r="F385" s="10" t="s">
        <v>35</v>
      </c>
      <c r="G385" s="39" t="s">
        <v>1331</v>
      </c>
    </row>
    <row r="386" spans="1:7" ht="15.75">
      <c r="A386" s="1">
        <v>385</v>
      </c>
      <c r="B386" s="3" t="s">
        <v>1670</v>
      </c>
      <c r="C386" s="1" t="s">
        <v>1206</v>
      </c>
      <c r="D386" t="str">
        <f t="shared" si="13"/>
        <v>elytra-531</v>
      </c>
      <c r="E386" t="str">
        <f t="shared" si="12"/>
        <v>ROD-SF-elytra-531</v>
      </c>
      <c r="F386" s="10" t="s">
        <v>26</v>
      </c>
      <c r="G386" s="39" t="s">
        <v>1331</v>
      </c>
    </row>
    <row r="387" spans="1:7" ht="15.75">
      <c r="A387" s="1">
        <v>386</v>
      </c>
      <c r="B387" s="3" t="s">
        <v>1671</v>
      </c>
      <c r="C387" s="1" t="s">
        <v>1206</v>
      </c>
      <c r="D387" t="str">
        <f t="shared" si="13"/>
        <v>elytra-532</v>
      </c>
      <c r="E387" t="str">
        <f t="shared" si="12"/>
        <v>ROD-SF-elytra-532</v>
      </c>
      <c r="F387" s="10" t="s">
        <v>35</v>
      </c>
      <c r="G387" s="39" t="s">
        <v>1331</v>
      </c>
    </row>
    <row r="388" spans="1:7" ht="15.75">
      <c r="A388" s="1">
        <v>387</v>
      </c>
      <c r="B388" s="3" t="s">
        <v>1672</v>
      </c>
      <c r="C388" s="1" t="s">
        <v>1206</v>
      </c>
      <c r="D388" t="str">
        <f t="shared" si="13"/>
        <v>elytra-533</v>
      </c>
      <c r="E388" t="str">
        <f t="shared" si="12"/>
        <v>ROD-SF-elytra-533</v>
      </c>
      <c r="F388" s="10" t="s">
        <v>26</v>
      </c>
      <c r="G388" s="39" t="s">
        <v>1331</v>
      </c>
    </row>
    <row r="389" spans="1:7" ht="15.75">
      <c r="A389" s="1">
        <v>388</v>
      </c>
      <c r="B389" s="3" t="s">
        <v>1673</v>
      </c>
      <c r="C389" s="1" t="s">
        <v>1206</v>
      </c>
      <c r="D389" t="str">
        <f t="shared" si="13"/>
        <v>elytra-534</v>
      </c>
      <c r="E389" t="str">
        <f t="shared" si="12"/>
        <v>ROD-SF-elytra-534</v>
      </c>
      <c r="F389" s="10" t="s">
        <v>35</v>
      </c>
      <c r="G389" s="39" t="s">
        <v>1331</v>
      </c>
    </row>
    <row r="390" spans="1:7" ht="15.75">
      <c r="A390" s="1">
        <v>389</v>
      </c>
      <c r="B390" s="3" t="s">
        <v>1674</v>
      </c>
      <c r="C390" s="1" t="s">
        <v>1206</v>
      </c>
      <c r="D390" t="str">
        <f t="shared" si="13"/>
        <v>elytra-535</v>
      </c>
      <c r="E390" t="str">
        <f t="shared" si="12"/>
        <v>ROD-SF-elytra-535</v>
      </c>
      <c r="F390" s="10" t="s">
        <v>26</v>
      </c>
      <c r="G390" s="39" t="s">
        <v>1331</v>
      </c>
    </row>
    <row r="391" spans="1:7" ht="15.75">
      <c r="A391" s="1">
        <v>390</v>
      </c>
      <c r="B391" s="3" t="s">
        <v>1675</v>
      </c>
      <c r="C391" s="1" t="s">
        <v>1206</v>
      </c>
      <c r="D391" t="str">
        <f t="shared" si="13"/>
        <v>elytra-536</v>
      </c>
      <c r="E391" t="str">
        <f t="shared" si="12"/>
        <v>ROD-SF-elytra-536</v>
      </c>
      <c r="F391" s="10" t="s">
        <v>35</v>
      </c>
      <c r="G391" s="39" t="s">
        <v>1331</v>
      </c>
    </row>
    <row r="392" spans="1:7" ht="15.75">
      <c r="A392" s="1">
        <v>391</v>
      </c>
      <c r="B392" s="3" t="s">
        <v>1676</v>
      </c>
      <c r="C392" s="1" t="s">
        <v>1206</v>
      </c>
      <c r="D392" t="str">
        <f t="shared" si="13"/>
        <v>elytra-537</v>
      </c>
      <c r="E392" t="str">
        <f t="shared" si="12"/>
        <v>ROD-SF-elytra-537</v>
      </c>
      <c r="F392" s="10" t="s">
        <v>26</v>
      </c>
      <c r="G392" s="39" t="s">
        <v>1331</v>
      </c>
    </row>
    <row r="393" spans="1:7" ht="15.75">
      <c r="A393" s="1">
        <v>392</v>
      </c>
      <c r="B393" s="3" t="s">
        <v>1677</v>
      </c>
      <c r="C393" s="1" t="s">
        <v>1206</v>
      </c>
      <c r="D393" t="str">
        <f t="shared" si="13"/>
        <v>elytra-538</v>
      </c>
      <c r="E393" t="str">
        <f t="shared" si="12"/>
        <v>ROD-SF-elytra-538</v>
      </c>
      <c r="F393" s="10" t="s">
        <v>26</v>
      </c>
      <c r="G393" s="39" t="s">
        <v>1331</v>
      </c>
    </row>
    <row r="394" spans="1:7" ht="15.75">
      <c r="A394" s="1">
        <v>393</v>
      </c>
      <c r="B394" s="3" t="s">
        <v>1678</v>
      </c>
      <c r="C394" s="1" t="s">
        <v>1206</v>
      </c>
      <c r="D394" t="str">
        <f t="shared" si="13"/>
        <v>elytra-539</v>
      </c>
      <c r="E394" t="str">
        <f t="shared" si="12"/>
        <v>ROD-SF-elytra-539</v>
      </c>
      <c r="F394" s="10" t="s">
        <v>35</v>
      </c>
      <c r="G394" s="39" t="s">
        <v>1331</v>
      </c>
    </row>
    <row r="395" spans="1:7" ht="15.75">
      <c r="A395" s="1">
        <v>394</v>
      </c>
      <c r="B395" s="3" t="s">
        <v>1679</v>
      </c>
      <c r="C395" s="1" t="s">
        <v>1206</v>
      </c>
      <c r="D395" t="str">
        <f t="shared" si="13"/>
        <v>elytra-540</v>
      </c>
      <c r="E395" t="str">
        <f t="shared" si="12"/>
        <v>ROD-SF-elytra-540</v>
      </c>
      <c r="F395" s="10" t="s">
        <v>26</v>
      </c>
      <c r="G395" s="39" t="s">
        <v>1331</v>
      </c>
    </row>
    <row r="396" spans="1:7" ht="15.75">
      <c r="A396" s="1">
        <v>395</v>
      </c>
      <c r="B396" s="3" t="s">
        <v>1680</v>
      </c>
      <c r="C396" s="1" t="s">
        <v>1206</v>
      </c>
      <c r="D396" t="str">
        <f t="shared" si="13"/>
        <v>elytra-541</v>
      </c>
      <c r="E396" t="str">
        <f t="shared" si="12"/>
        <v>ROD-SF-elytra-541</v>
      </c>
      <c r="F396" s="10" t="s">
        <v>26</v>
      </c>
      <c r="G396" s="39" t="s">
        <v>1331</v>
      </c>
    </row>
    <row r="397" spans="1:7" ht="15.75">
      <c r="A397" s="1">
        <v>396</v>
      </c>
      <c r="B397" s="3" t="s">
        <v>1681</v>
      </c>
      <c r="C397" s="1" t="s">
        <v>1206</v>
      </c>
      <c r="D397" t="str">
        <f t="shared" si="13"/>
        <v>elytra-542</v>
      </c>
      <c r="E397" t="str">
        <f t="shared" si="12"/>
        <v>ROD-SF-elytra-542</v>
      </c>
      <c r="F397" s="10" t="s">
        <v>26</v>
      </c>
      <c r="G397" s="39" t="s">
        <v>1331</v>
      </c>
    </row>
    <row r="398" spans="1:7" ht="15.75">
      <c r="A398" s="1">
        <v>397</v>
      </c>
      <c r="B398" s="3" t="s">
        <v>1682</v>
      </c>
      <c r="C398" s="1" t="s">
        <v>1206</v>
      </c>
      <c r="D398" t="str">
        <f t="shared" si="13"/>
        <v>elytra-543</v>
      </c>
      <c r="E398" t="str">
        <f t="shared" ref="E398:E461" si="14">C398&amp;D398</f>
        <v>ROD-SF-elytra-543</v>
      </c>
      <c r="F398" s="10" t="s">
        <v>26</v>
      </c>
      <c r="G398" s="39" t="s">
        <v>1331</v>
      </c>
    </row>
    <row r="399" spans="1:7" ht="15.75">
      <c r="A399" s="1">
        <v>398</v>
      </c>
      <c r="B399" s="3" t="s">
        <v>1683</v>
      </c>
      <c r="C399" s="1" t="s">
        <v>1206</v>
      </c>
      <c r="D399" t="str">
        <f t="shared" si="13"/>
        <v>elytra-544</v>
      </c>
      <c r="E399" t="str">
        <f t="shared" si="14"/>
        <v>ROD-SF-elytra-544</v>
      </c>
      <c r="F399" s="10" t="s">
        <v>35</v>
      </c>
      <c r="G399" s="39" t="s">
        <v>1331</v>
      </c>
    </row>
    <row r="400" spans="1:7" ht="15.75">
      <c r="A400" s="1">
        <v>399</v>
      </c>
      <c r="B400" s="3" t="s">
        <v>1684</v>
      </c>
      <c r="C400" s="1" t="s">
        <v>1206</v>
      </c>
      <c r="D400" t="str">
        <f t="shared" si="13"/>
        <v>elytra-545</v>
      </c>
      <c r="E400" t="str">
        <f t="shared" si="14"/>
        <v>ROD-SF-elytra-545</v>
      </c>
      <c r="F400" s="10" t="s">
        <v>26</v>
      </c>
      <c r="G400" s="39" t="s">
        <v>1331</v>
      </c>
    </row>
    <row r="401" spans="1:7" ht="15.75">
      <c r="A401" s="1">
        <v>400</v>
      </c>
      <c r="B401" s="3" t="s">
        <v>1685</v>
      </c>
      <c r="C401" s="1" t="s">
        <v>1206</v>
      </c>
      <c r="D401" t="str">
        <f t="shared" si="13"/>
        <v>elytra-546</v>
      </c>
      <c r="E401" t="str">
        <f t="shared" si="14"/>
        <v>ROD-SF-elytra-546</v>
      </c>
      <c r="F401" s="10" t="s">
        <v>35</v>
      </c>
      <c r="G401" s="39" t="s">
        <v>1331</v>
      </c>
    </row>
    <row r="402" spans="1:7" ht="15.75">
      <c r="A402" s="1">
        <v>401</v>
      </c>
      <c r="B402" s="3" t="s">
        <v>1686</v>
      </c>
      <c r="C402" s="1" t="s">
        <v>1206</v>
      </c>
      <c r="D402" t="str">
        <f t="shared" si="13"/>
        <v>elytra-547</v>
      </c>
      <c r="E402" t="str">
        <f t="shared" si="14"/>
        <v>ROD-SF-elytra-547</v>
      </c>
      <c r="F402" s="10" t="s">
        <v>35</v>
      </c>
      <c r="G402" s="39" t="s">
        <v>1331</v>
      </c>
    </row>
    <row r="403" spans="1:7" ht="15.75">
      <c r="A403" s="1">
        <v>402</v>
      </c>
      <c r="B403" s="3" t="s">
        <v>1687</v>
      </c>
      <c r="C403" s="1" t="s">
        <v>1206</v>
      </c>
      <c r="D403" t="str">
        <f t="shared" si="13"/>
        <v>elytra-548</v>
      </c>
      <c r="E403" t="str">
        <f t="shared" si="14"/>
        <v>ROD-SF-elytra-548</v>
      </c>
      <c r="F403" s="10" t="s">
        <v>26</v>
      </c>
      <c r="G403" s="39" t="s">
        <v>1331</v>
      </c>
    </row>
    <row r="404" spans="1:7" ht="15.75">
      <c r="A404" s="1">
        <v>403</v>
      </c>
      <c r="B404" s="3" t="s">
        <v>1688</v>
      </c>
      <c r="C404" s="1" t="s">
        <v>1206</v>
      </c>
      <c r="D404" t="str">
        <f t="shared" si="13"/>
        <v>elytra-549</v>
      </c>
      <c r="E404" t="str">
        <f t="shared" si="14"/>
        <v>ROD-SF-elytra-549</v>
      </c>
      <c r="F404" s="10" t="s">
        <v>35</v>
      </c>
      <c r="G404" s="39" t="s">
        <v>1331</v>
      </c>
    </row>
    <row r="405" spans="1:7" ht="15.75">
      <c r="A405" s="1">
        <v>404</v>
      </c>
      <c r="B405" s="3" t="s">
        <v>1689</v>
      </c>
      <c r="C405" s="1" t="s">
        <v>1206</v>
      </c>
      <c r="D405" t="str">
        <f t="shared" si="13"/>
        <v>elytra-550</v>
      </c>
      <c r="E405" t="str">
        <f t="shared" si="14"/>
        <v>ROD-SF-elytra-550</v>
      </c>
      <c r="F405" s="10" t="s">
        <v>26</v>
      </c>
      <c r="G405" s="39" t="s">
        <v>1331</v>
      </c>
    </row>
    <row r="406" spans="1:7" ht="15.75">
      <c r="A406" s="1">
        <v>405</v>
      </c>
      <c r="B406" s="3" t="s">
        <v>1690</v>
      </c>
      <c r="C406" s="1" t="s">
        <v>1206</v>
      </c>
      <c r="D406" t="str">
        <f t="shared" si="13"/>
        <v>elytra-551</v>
      </c>
      <c r="E406" t="str">
        <f t="shared" si="14"/>
        <v>ROD-SF-elytra-551</v>
      </c>
      <c r="F406" s="10" t="s">
        <v>26</v>
      </c>
      <c r="G406" s="39" t="s">
        <v>1331</v>
      </c>
    </row>
    <row r="407" spans="1:7" ht="15.75">
      <c r="A407" s="1">
        <v>406</v>
      </c>
      <c r="B407" s="3" t="s">
        <v>1691</v>
      </c>
      <c r="C407" s="1" t="s">
        <v>1206</v>
      </c>
      <c r="D407" t="str">
        <f t="shared" si="13"/>
        <v>elytra-552</v>
      </c>
      <c r="E407" t="str">
        <f t="shared" si="14"/>
        <v>ROD-SF-elytra-552</v>
      </c>
      <c r="F407" s="10" t="s">
        <v>35</v>
      </c>
      <c r="G407" s="39" t="s">
        <v>1331</v>
      </c>
    </row>
    <row r="408" spans="1:7" ht="15.75">
      <c r="A408" s="1">
        <v>407</v>
      </c>
      <c r="B408" s="3" t="s">
        <v>1692</v>
      </c>
      <c r="C408" s="1" t="s">
        <v>1206</v>
      </c>
      <c r="D408" t="str">
        <f t="shared" si="13"/>
        <v>elytra-553</v>
      </c>
      <c r="E408" t="str">
        <f t="shared" si="14"/>
        <v>ROD-SF-elytra-553</v>
      </c>
      <c r="F408" s="10" t="s">
        <v>26</v>
      </c>
      <c r="G408" s="39" t="s">
        <v>1331</v>
      </c>
    </row>
    <row r="409" spans="1:7" ht="15.75">
      <c r="A409" s="1">
        <v>408</v>
      </c>
      <c r="B409" s="3" t="s">
        <v>1693</v>
      </c>
      <c r="C409" s="1" t="s">
        <v>1206</v>
      </c>
      <c r="D409" t="str">
        <f t="shared" si="13"/>
        <v>elytra-554</v>
      </c>
      <c r="E409" t="str">
        <f t="shared" si="14"/>
        <v>ROD-SF-elytra-554</v>
      </c>
      <c r="F409" s="10" t="s">
        <v>26</v>
      </c>
      <c r="G409" s="39" t="s">
        <v>1331</v>
      </c>
    </row>
    <row r="410" spans="1:7" ht="15.75">
      <c r="A410" s="1">
        <v>409</v>
      </c>
      <c r="B410" s="3" t="s">
        <v>1694</v>
      </c>
      <c r="C410" s="1" t="s">
        <v>1206</v>
      </c>
      <c r="D410" t="str">
        <f t="shared" si="13"/>
        <v>elytra-555</v>
      </c>
      <c r="E410" t="str">
        <f t="shared" si="14"/>
        <v>ROD-SF-elytra-555</v>
      </c>
      <c r="F410" s="10" t="s">
        <v>26</v>
      </c>
      <c r="G410" s="39" t="s">
        <v>1331</v>
      </c>
    </row>
    <row r="411" spans="1:7" ht="15.75">
      <c r="A411" s="1">
        <v>410</v>
      </c>
      <c r="B411" s="3" t="s">
        <v>1695</v>
      </c>
      <c r="C411" s="1" t="s">
        <v>1206</v>
      </c>
      <c r="D411" t="str">
        <f t="shared" si="13"/>
        <v>elytra-556</v>
      </c>
      <c r="E411" t="str">
        <f t="shared" si="14"/>
        <v>ROD-SF-elytra-556</v>
      </c>
      <c r="F411" s="10" t="s">
        <v>26</v>
      </c>
      <c r="G411" s="39" t="s">
        <v>1331</v>
      </c>
    </row>
    <row r="412" spans="1:7" ht="15.75">
      <c r="A412" s="1">
        <v>411</v>
      </c>
      <c r="B412" s="3" t="s">
        <v>1696</v>
      </c>
      <c r="C412" s="1" t="s">
        <v>1206</v>
      </c>
      <c r="D412" t="str">
        <f t="shared" si="13"/>
        <v>elytra-557</v>
      </c>
      <c r="E412" t="str">
        <f t="shared" si="14"/>
        <v>ROD-SF-elytra-557</v>
      </c>
      <c r="F412" s="10" t="s">
        <v>26</v>
      </c>
      <c r="G412" s="39" t="s">
        <v>1331</v>
      </c>
    </row>
    <row r="413" spans="1:7" ht="15.75">
      <c r="A413" s="1">
        <v>412</v>
      </c>
      <c r="B413" s="3" t="s">
        <v>1697</v>
      </c>
      <c r="C413" s="1" t="s">
        <v>1206</v>
      </c>
      <c r="D413" t="str">
        <f t="shared" si="13"/>
        <v>elytra-558</v>
      </c>
      <c r="E413" t="str">
        <f t="shared" si="14"/>
        <v>ROD-SF-elytra-558</v>
      </c>
      <c r="F413" s="10" t="s">
        <v>35</v>
      </c>
      <c r="G413" s="39" t="s">
        <v>1331</v>
      </c>
    </row>
    <row r="414" spans="1:7" ht="15.75">
      <c r="A414" s="1">
        <v>413</v>
      </c>
      <c r="B414" s="3" t="s">
        <v>1698</v>
      </c>
      <c r="C414" s="1" t="s">
        <v>1206</v>
      </c>
      <c r="D414" t="str">
        <f t="shared" si="13"/>
        <v>elytra-559</v>
      </c>
      <c r="E414" t="str">
        <f t="shared" si="14"/>
        <v>ROD-SF-elytra-559</v>
      </c>
      <c r="F414" s="10" t="s">
        <v>26</v>
      </c>
      <c r="G414" s="39" t="s">
        <v>1331</v>
      </c>
    </row>
    <row r="415" spans="1:7" ht="15.75">
      <c r="A415" s="1">
        <v>414</v>
      </c>
      <c r="B415" s="3" t="s">
        <v>1699</v>
      </c>
      <c r="C415" s="1" t="s">
        <v>1206</v>
      </c>
      <c r="D415" t="str">
        <f t="shared" si="13"/>
        <v>elytra-560</v>
      </c>
      <c r="E415" t="str">
        <f t="shared" si="14"/>
        <v>ROD-SF-elytra-560</v>
      </c>
      <c r="F415" s="10" t="s">
        <v>26</v>
      </c>
      <c r="G415" s="39" t="s">
        <v>1331</v>
      </c>
    </row>
    <row r="416" spans="1:7" ht="15.75">
      <c r="A416" s="1">
        <v>415</v>
      </c>
      <c r="B416" s="3" t="s">
        <v>1700</v>
      </c>
      <c r="C416" s="1" t="s">
        <v>1206</v>
      </c>
      <c r="D416" t="str">
        <f t="shared" si="13"/>
        <v>elytra-561</v>
      </c>
      <c r="E416" t="str">
        <f t="shared" si="14"/>
        <v>ROD-SF-elytra-561</v>
      </c>
      <c r="F416" s="10" t="s">
        <v>35</v>
      </c>
      <c r="G416" s="39" t="s">
        <v>1331</v>
      </c>
    </row>
    <row r="417" spans="1:7" ht="15.75">
      <c r="A417" s="1">
        <v>416</v>
      </c>
      <c r="B417" s="3" t="s">
        <v>1701</v>
      </c>
      <c r="C417" s="1" t="s">
        <v>1206</v>
      </c>
      <c r="D417" t="str">
        <f t="shared" si="13"/>
        <v>elytra-562</v>
      </c>
      <c r="E417" t="str">
        <f t="shared" si="14"/>
        <v>ROD-SF-elytra-562</v>
      </c>
      <c r="F417" s="10" t="s">
        <v>26</v>
      </c>
      <c r="G417" s="39" t="s">
        <v>1331</v>
      </c>
    </row>
    <row r="418" spans="1:7" ht="15.75">
      <c r="A418" s="1">
        <v>417</v>
      </c>
      <c r="B418" s="3" t="s">
        <v>1702</v>
      </c>
      <c r="C418" s="1" t="s">
        <v>1206</v>
      </c>
      <c r="D418" t="str">
        <f t="shared" si="13"/>
        <v>elytra-563</v>
      </c>
      <c r="E418" t="str">
        <f t="shared" si="14"/>
        <v>ROD-SF-elytra-563</v>
      </c>
      <c r="F418" s="10" t="s">
        <v>26</v>
      </c>
      <c r="G418" s="39" t="s">
        <v>1331</v>
      </c>
    </row>
    <row r="419" spans="1:7" ht="15.75">
      <c r="A419" s="1">
        <v>418</v>
      </c>
      <c r="B419" s="3" t="s">
        <v>1703</v>
      </c>
      <c r="C419" s="1" t="s">
        <v>1206</v>
      </c>
      <c r="D419" t="str">
        <f t="shared" si="13"/>
        <v>elytra-564</v>
      </c>
      <c r="E419" t="str">
        <f t="shared" si="14"/>
        <v>ROD-SF-elytra-564</v>
      </c>
      <c r="F419" s="10" t="s">
        <v>26</v>
      </c>
      <c r="G419" s="39" t="s">
        <v>1331</v>
      </c>
    </row>
    <row r="420" spans="1:7" ht="15.75">
      <c r="A420" s="1">
        <v>419</v>
      </c>
      <c r="B420" s="3" t="s">
        <v>1704</v>
      </c>
      <c r="C420" s="1" t="s">
        <v>1206</v>
      </c>
      <c r="D420" t="str">
        <f t="shared" si="13"/>
        <v>elytra-565</v>
      </c>
      <c r="E420" t="str">
        <f t="shared" si="14"/>
        <v>ROD-SF-elytra-565</v>
      </c>
      <c r="F420" s="10" t="s">
        <v>35</v>
      </c>
      <c r="G420" s="39" t="s">
        <v>1331</v>
      </c>
    </row>
    <row r="421" spans="1:7" ht="15.75">
      <c r="A421" s="1">
        <v>420</v>
      </c>
      <c r="B421" s="3" t="s">
        <v>1705</v>
      </c>
      <c r="C421" s="1" t="s">
        <v>1206</v>
      </c>
      <c r="D421" t="str">
        <f t="shared" ref="D421:D484" si="15">RIGHT(B421,10)</f>
        <v>elytra-566</v>
      </c>
      <c r="E421" t="str">
        <f t="shared" si="14"/>
        <v>ROD-SF-elytra-566</v>
      </c>
      <c r="F421" s="10" t="s">
        <v>26</v>
      </c>
      <c r="G421" s="39" t="s">
        <v>1331</v>
      </c>
    </row>
    <row r="422" spans="1:7" ht="15.75">
      <c r="A422" s="1">
        <v>421</v>
      </c>
      <c r="B422" s="3" t="s">
        <v>1706</v>
      </c>
      <c r="C422" s="1" t="s">
        <v>1206</v>
      </c>
      <c r="D422" t="str">
        <f t="shared" si="15"/>
        <v>elytra-567</v>
      </c>
      <c r="E422" t="str">
        <f t="shared" si="14"/>
        <v>ROD-SF-elytra-567</v>
      </c>
      <c r="F422" s="10" t="s">
        <v>35</v>
      </c>
      <c r="G422" s="39" t="s">
        <v>1331</v>
      </c>
    </row>
    <row r="423" spans="1:7" ht="15.75">
      <c r="A423" s="1">
        <v>422</v>
      </c>
      <c r="B423" s="3" t="s">
        <v>1707</v>
      </c>
      <c r="C423" s="1" t="s">
        <v>1206</v>
      </c>
      <c r="D423" t="str">
        <f t="shared" si="15"/>
        <v>elytra-568</v>
      </c>
      <c r="E423" t="str">
        <f t="shared" si="14"/>
        <v>ROD-SF-elytra-568</v>
      </c>
      <c r="F423" s="10" t="s">
        <v>26</v>
      </c>
      <c r="G423" s="39" t="s">
        <v>1331</v>
      </c>
    </row>
    <row r="424" spans="1:7" ht="15.75">
      <c r="A424" s="1">
        <v>423</v>
      </c>
      <c r="B424" s="3" t="s">
        <v>1708</v>
      </c>
      <c r="C424" s="1" t="s">
        <v>1206</v>
      </c>
      <c r="D424" t="str">
        <f t="shared" si="15"/>
        <v>elytra-569</v>
      </c>
      <c r="E424" t="str">
        <f t="shared" si="14"/>
        <v>ROD-SF-elytra-569</v>
      </c>
      <c r="F424" s="10" t="s">
        <v>35</v>
      </c>
      <c r="G424" s="39" t="s">
        <v>1331</v>
      </c>
    </row>
    <row r="425" spans="1:7" ht="15.75">
      <c r="A425" s="1">
        <v>424</v>
      </c>
      <c r="B425" s="3" t="s">
        <v>1709</v>
      </c>
      <c r="C425" s="1" t="s">
        <v>1206</v>
      </c>
      <c r="D425" t="str">
        <f t="shared" si="15"/>
        <v>elytra-570</v>
      </c>
      <c r="E425" t="str">
        <f t="shared" si="14"/>
        <v>ROD-SF-elytra-570</v>
      </c>
      <c r="F425" s="10" t="s">
        <v>26</v>
      </c>
      <c r="G425" s="39" t="s">
        <v>1331</v>
      </c>
    </row>
    <row r="426" spans="1:7" ht="15.75">
      <c r="A426" s="1">
        <v>425</v>
      </c>
      <c r="B426" s="3" t="s">
        <v>1710</v>
      </c>
      <c r="C426" s="1" t="s">
        <v>1206</v>
      </c>
      <c r="D426" t="str">
        <f t="shared" si="15"/>
        <v>elytra-571</v>
      </c>
      <c r="E426" t="str">
        <f t="shared" si="14"/>
        <v>ROD-SF-elytra-571</v>
      </c>
      <c r="F426" s="10" t="s">
        <v>26</v>
      </c>
      <c r="G426" s="39" t="s">
        <v>1331</v>
      </c>
    </row>
    <row r="427" spans="1:7" ht="15.75">
      <c r="A427" s="1">
        <v>426</v>
      </c>
      <c r="B427" s="3" t="s">
        <v>1711</v>
      </c>
      <c r="C427" s="1" t="s">
        <v>1206</v>
      </c>
      <c r="D427" t="str">
        <f t="shared" si="15"/>
        <v>elytra-572</v>
      </c>
      <c r="E427" t="str">
        <f t="shared" si="14"/>
        <v>ROD-SF-elytra-572</v>
      </c>
      <c r="F427" s="10" t="s">
        <v>26</v>
      </c>
      <c r="G427" s="39" t="s">
        <v>1331</v>
      </c>
    </row>
    <row r="428" spans="1:7" ht="15.75">
      <c r="A428" s="1">
        <v>427</v>
      </c>
      <c r="B428" s="3" t="s">
        <v>1712</v>
      </c>
      <c r="C428" s="1" t="s">
        <v>1206</v>
      </c>
      <c r="D428" t="str">
        <f t="shared" si="15"/>
        <v>elytra-573</v>
      </c>
      <c r="E428" t="str">
        <f t="shared" si="14"/>
        <v>ROD-SF-elytra-573</v>
      </c>
      <c r="F428" s="10" t="s">
        <v>26</v>
      </c>
      <c r="G428" s="39" t="s">
        <v>1331</v>
      </c>
    </row>
    <row r="429" spans="1:7" ht="15.75">
      <c r="A429" s="1">
        <v>428</v>
      </c>
      <c r="B429" s="3" t="s">
        <v>1713</v>
      </c>
      <c r="C429" s="1" t="s">
        <v>1206</v>
      </c>
      <c r="D429" t="str">
        <f t="shared" si="15"/>
        <v>elytra-574</v>
      </c>
      <c r="E429" t="str">
        <f t="shared" si="14"/>
        <v>ROD-SF-elytra-574</v>
      </c>
      <c r="F429" s="10" t="s">
        <v>26</v>
      </c>
      <c r="G429" s="39" t="s">
        <v>1331</v>
      </c>
    </row>
    <row r="430" spans="1:7" ht="15.75">
      <c r="A430" s="1">
        <v>429</v>
      </c>
      <c r="B430" s="3" t="s">
        <v>1714</v>
      </c>
      <c r="C430" s="1" t="s">
        <v>1206</v>
      </c>
      <c r="D430" t="str">
        <f t="shared" si="15"/>
        <v>elytra-575</v>
      </c>
      <c r="E430" t="str">
        <f t="shared" si="14"/>
        <v>ROD-SF-elytra-575</v>
      </c>
      <c r="F430" s="10" t="s">
        <v>26</v>
      </c>
      <c r="G430" s="39" t="s">
        <v>1331</v>
      </c>
    </row>
    <row r="431" spans="1:7" ht="15.75">
      <c r="A431" s="1">
        <v>430</v>
      </c>
      <c r="B431" s="3" t="s">
        <v>1715</v>
      </c>
      <c r="C431" s="1" t="s">
        <v>1206</v>
      </c>
      <c r="D431" t="str">
        <f t="shared" si="15"/>
        <v>elytra-576</v>
      </c>
      <c r="E431" t="str">
        <f t="shared" si="14"/>
        <v>ROD-SF-elytra-576</v>
      </c>
      <c r="F431" s="10" t="s">
        <v>35</v>
      </c>
      <c r="G431" s="39" t="s">
        <v>1331</v>
      </c>
    </row>
    <row r="432" spans="1:7" ht="15.75">
      <c r="A432" s="1">
        <v>431</v>
      </c>
      <c r="B432" s="3" t="s">
        <v>1716</v>
      </c>
      <c r="C432" s="1" t="s">
        <v>1206</v>
      </c>
      <c r="D432" t="str">
        <f t="shared" si="15"/>
        <v>elytra-577</v>
      </c>
      <c r="E432" t="str">
        <f t="shared" si="14"/>
        <v>ROD-SF-elytra-577</v>
      </c>
      <c r="F432" s="10" t="s">
        <v>35</v>
      </c>
      <c r="G432" s="39" t="s">
        <v>1331</v>
      </c>
    </row>
    <row r="433" spans="1:7" ht="15.75">
      <c r="A433" s="1">
        <v>432</v>
      </c>
      <c r="B433" s="3" t="s">
        <v>1717</v>
      </c>
      <c r="C433" s="1" t="s">
        <v>1206</v>
      </c>
      <c r="D433" t="str">
        <f t="shared" si="15"/>
        <v>elytra-578</v>
      </c>
      <c r="E433" t="str">
        <f t="shared" si="14"/>
        <v>ROD-SF-elytra-578</v>
      </c>
      <c r="F433" s="10" t="s">
        <v>26</v>
      </c>
      <c r="G433" s="39" t="s">
        <v>1331</v>
      </c>
    </row>
    <row r="434" spans="1:7" ht="15.75">
      <c r="A434" s="1">
        <v>433</v>
      </c>
      <c r="B434" s="3" t="s">
        <v>1718</v>
      </c>
      <c r="C434" s="1" t="s">
        <v>1206</v>
      </c>
      <c r="D434" t="str">
        <f t="shared" si="15"/>
        <v>elytra-579</v>
      </c>
      <c r="E434" t="str">
        <f t="shared" si="14"/>
        <v>ROD-SF-elytra-579</v>
      </c>
      <c r="F434" s="10" t="s">
        <v>26</v>
      </c>
      <c r="G434" s="39" t="s">
        <v>1331</v>
      </c>
    </row>
    <row r="435" spans="1:7" ht="15.75">
      <c r="A435" s="1">
        <v>434</v>
      </c>
      <c r="B435" s="3" t="s">
        <v>1719</v>
      </c>
      <c r="C435" s="1" t="s">
        <v>1206</v>
      </c>
      <c r="D435" t="str">
        <f t="shared" si="15"/>
        <v>elytra-580</v>
      </c>
      <c r="E435" t="str">
        <f t="shared" si="14"/>
        <v>ROD-SF-elytra-580</v>
      </c>
      <c r="F435" s="10" t="s">
        <v>26</v>
      </c>
      <c r="G435" s="39" t="s">
        <v>1331</v>
      </c>
    </row>
    <row r="436" spans="1:7" ht="15.75">
      <c r="A436" s="1">
        <v>435</v>
      </c>
      <c r="B436" s="3" t="s">
        <v>1720</v>
      </c>
      <c r="C436" s="1" t="s">
        <v>1206</v>
      </c>
      <c r="D436" t="str">
        <f t="shared" si="15"/>
        <v>elytra-581</v>
      </c>
      <c r="E436" t="str">
        <f t="shared" si="14"/>
        <v>ROD-SF-elytra-581</v>
      </c>
      <c r="F436" s="10" t="s">
        <v>26</v>
      </c>
      <c r="G436" s="39" t="s">
        <v>1331</v>
      </c>
    </row>
    <row r="437" spans="1:7" ht="15.75">
      <c r="A437" s="1">
        <v>436</v>
      </c>
      <c r="B437" s="3" t="s">
        <v>1721</v>
      </c>
      <c r="C437" s="1" t="s">
        <v>1206</v>
      </c>
      <c r="D437" t="str">
        <f t="shared" si="15"/>
        <v>elytra-582</v>
      </c>
      <c r="E437" t="str">
        <f t="shared" si="14"/>
        <v>ROD-SF-elytra-582</v>
      </c>
      <c r="F437" s="10" t="s">
        <v>26</v>
      </c>
      <c r="G437" s="39" t="s">
        <v>1331</v>
      </c>
    </row>
    <row r="438" spans="1:7" ht="15.75">
      <c r="A438" s="1">
        <v>437</v>
      </c>
      <c r="B438" s="3" t="s">
        <v>1722</v>
      </c>
      <c r="C438" s="1" t="s">
        <v>1206</v>
      </c>
      <c r="D438" t="str">
        <f t="shared" si="15"/>
        <v>elytra-583</v>
      </c>
      <c r="E438" t="str">
        <f t="shared" si="14"/>
        <v>ROD-SF-elytra-583</v>
      </c>
      <c r="F438" s="10" t="s">
        <v>26</v>
      </c>
      <c r="G438" s="39" t="s">
        <v>1331</v>
      </c>
    </row>
    <row r="439" spans="1:7" ht="15.75">
      <c r="A439" s="1">
        <v>438</v>
      </c>
      <c r="B439" s="3" t="s">
        <v>1723</v>
      </c>
      <c r="C439" s="1" t="s">
        <v>1206</v>
      </c>
      <c r="D439" t="str">
        <f t="shared" si="15"/>
        <v>elytra-584</v>
      </c>
      <c r="E439" t="str">
        <f t="shared" si="14"/>
        <v>ROD-SF-elytra-584</v>
      </c>
      <c r="F439" s="10" t="s">
        <v>35</v>
      </c>
      <c r="G439" s="39" t="s">
        <v>1331</v>
      </c>
    </row>
    <row r="440" spans="1:7" ht="15.75">
      <c r="A440" s="1">
        <v>439</v>
      </c>
      <c r="B440" s="3" t="s">
        <v>1724</v>
      </c>
      <c r="C440" s="1" t="s">
        <v>1206</v>
      </c>
      <c r="D440" t="str">
        <f t="shared" si="15"/>
        <v>elytra-585</v>
      </c>
      <c r="E440" t="str">
        <f t="shared" si="14"/>
        <v>ROD-SF-elytra-585</v>
      </c>
      <c r="F440" s="10" t="s">
        <v>26</v>
      </c>
      <c r="G440" s="39" t="s">
        <v>1331</v>
      </c>
    </row>
    <row r="441" spans="1:7" ht="15.75">
      <c r="A441" s="1">
        <v>440</v>
      </c>
      <c r="B441" s="3" t="s">
        <v>1725</v>
      </c>
      <c r="C441" s="1" t="s">
        <v>1206</v>
      </c>
      <c r="D441" t="str">
        <f t="shared" si="15"/>
        <v>elytra-586</v>
      </c>
      <c r="E441" t="str">
        <f t="shared" si="14"/>
        <v>ROD-SF-elytra-586</v>
      </c>
      <c r="F441" s="10" t="s">
        <v>26</v>
      </c>
      <c r="G441" s="39" t="s">
        <v>1331</v>
      </c>
    </row>
    <row r="442" spans="1:7" ht="15.75">
      <c r="A442" s="1">
        <v>441</v>
      </c>
      <c r="B442" s="3" t="s">
        <v>1726</v>
      </c>
      <c r="C442" s="1" t="s">
        <v>1206</v>
      </c>
      <c r="D442" t="str">
        <f t="shared" si="15"/>
        <v>elytra-587</v>
      </c>
      <c r="E442" t="str">
        <f t="shared" si="14"/>
        <v>ROD-SF-elytra-587</v>
      </c>
      <c r="F442" s="10" t="s">
        <v>35</v>
      </c>
      <c r="G442" s="39" t="s">
        <v>1331</v>
      </c>
    </row>
    <row r="443" spans="1:7" ht="15.75">
      <c r="A443" s="1">
        <v>442</v>
      </c>
      <c r="B443" s="3" t="s">
        <v>1727</v>
      </c>
      <c r="C443" s="1" t="s">
        <v>1206</v>
      </c>
      <c r="D443" t="str">
        <f t="shared" si="15"/>
        <v>elytra-588</v>
      </c>
      <c r="E443" t="str">
        <f t="shared" si="14"/>
        <v>ROD-SF-elytra-588</v>
      </c>
      <c r="F443" s="10" t="s">
        <v>35</v>
      </c>
      <c r="G443" s="39" t="s">
        <v>1331</v>
      </c>
    </row>
    <row r="444" spans="1:7" ht="15.75">
      <c r="A444" s="1">
        <v>443</v>
      </c>
      <c r="B444" s="3" t="s">
        <v>1728</v>
      </c>
      <c r="C444" s="1" t="s">
        <v>1206</v>
      </c>
      <c r="D444" t="str">
        <f t="shared" si="15"/>
        <v>elytra-589</v>
      </c>
      <c r="E444" t="str">
        <f t="shared" si="14"/>
        <v>ROD-SF-elytra-589</v>
      </c>
      <c r="F444" s="10" t="s">
        <v>26</v>
      </c>
      <c r="G444" s="39" t="s">
        <v>1331</v>
      </c>
    </row>
    <row r="445" spans="1:7" ht="15.75">
      <c r="A445" s="1">
        <v>444</v>
      </c>
      <c r="B445" s="3" t="s">
        <v>1729</v>
      </c>
      <c r="C445" s="1" t="s">
        <v>1206</v>
      </c>
      <c r="D445" t="str">
        <f t="shared" si="15"/>
        <v>elytra-590</v>
      </c>
      <c r="E445" t="str">
        <f t="shared" si="14"/>
        <v>ROD-SF-elytra-590</v>
      </c>
      <c r="F445" s="10" t="s">
        <v>26</v>
      </c>
      <c r="G445" s="39" t="s">
        <v>1331</v>
      </c>
    </row>
    <row r="446" spans="1:7" ht="15.75">
      <c r="A446" s="1">
        <v>445</v>
      </c>
      <c r="B446" s="3" t="s">
        <v>1730</v>
      </c>
      <c r="C446" s="1" t="s">
        <v>1206</v>
      </c>
      <c r="D446" t="str">
        <f t="shared" si="15"/>
        <v>elytra-591</v>
      </c>
      <c r="E446" t="str">
        <f t="shared" si="14"/>
        <v>ROD-SF-elytra-591</v>
      </c>
      <c r="F446" s="10" t="s">
        <v>26</v>
      </c>
      <c r="G446" s="39" t="s">
        <v>1331</v>
      </c>
    </row>
    <row r="447" spans="1:7" ht="15.75">
      <c r="A447" s="1">
        <v>446</v>
      </c>
      <c r="B447" s="3" t="s">
        <v>1731</v>
      </c>
      <c r="C447" s="1" t="s">
        <v>1206</v>
      </c>
      <c r="D447" t="str">
        <f t="shared" si="15"/>
        <v>elytra-592</v>
      </c>
      <c r="E447" t="str">
        <f t="shared" si="14"/>
        <v>ROD-SF-elytra-592</v>
      </c>
      <c r="F447" s="10" t="s">
        <v>26</v>
      </c>
      <c r="G447" s="39" t="s">
        <v>1331</v>
      </c>
    </row>
    <row r="448" spans="1:7" ht="15.75">
      <c r="A448" s="1">
        <v>447</v>
      </c>
      <c r="B448" s="3" t="s">
        <v>1732</v>
      </c>
      <c r="C448" s="1" t="s">
        <v>1206</v>
      </c>
      <c r="D448" t="str">
        <f t="shared" si="15"/>
        <v>elytra-593</v>
      </c>
      <c r="E448" t="str">
        <f t="shared" si="14"/>
        <v>ROD-SF-elytra-593</v>
      </c>
      <c r="F448" s="10" t="s">
        <v>35</v>
      </c>
      <c r="G448" s="39" t="s">
        <v>1331</v>
      </c>
    </row>
    <row r="449" spans="1:7" ht="15.75">
      <c r="A449" s="1">
        <v>448</v>
      </c>
      <c r="B449" s="3" t="s">
        <v>1733</v>
      </c>
      <c r="C449" s="1" t="s">
        <v>1206</v>
      </c>
      <c r="D449" t="str">
        <f t="shared" si="15"/>
        <v>elytra-594</v>
      </c>
      <c r="E449" t="str">
        <f t="shared" si="14"/>
        <v>ROD-SF-elytra-594</v>
      </c>
      <c r="F449" s="10" t="s">
        <v>35</v>
      </c>
      <c r="G449" s="39" t="s">
        <v>1331</v>
      </c>
    </row>
    <row r="450" spans="1:7" ht="15.75">
      <c r="A450" s="1">
        <v>449</v>
      </c>
      <c r="B450" s="3" t="s">
        <v>1734</v>
      </c>
      <c r="C450" s="1" t="s">
        <v>1206</v>
      </c>
      <c r="D450" t="str">
        <f t="shared" si="15"/>
        <v>elytra-595</v>
      </c>
      <c r="E450" t="str">
        <f t="shared" si="14"/>
        <v>ROD-SF-elytra-595</v>
      </c>
      <c r="F450" s="10" t="s">
        <v>26</v>
      </c>
      <c r="G450" s="39" t="s">
        <v>1331</v>
      </c>
    </row>
    <row r="451" spans="1:7" ht="15.75">
      <c r="A451" s="1">
        <v>450</v>
      </c>
      <c r="B451" s="3" t="s">
        <v>1735</v>
      </c>
      <c r="C451" s="1" t="s">
        <v>1206</v>
      </c>
      <c r="D451" t="str">
        <f t="shared" si="15"/>
        <v>elytra-596</v>
      </c>
      <c r="E451" t="str">
        <f t="shared" si="14"/>
        <v>ROD-SF-elytra-596</v>
      </c>
      <c r="F451" s="10" t="s">
        <v>26</v>
      </c>
      <c r="G451" s="39" t="s">
        <v>1331</v>
      </c>
    </row>
    <row r="452" spans="1:7" ht="15.75">
      <c r="A452" s="1">
        <v>451</v>
      </c>
      <c r="B452" s="3" t="s">
        <v>1736</v>
      </c>
      <c r="C452" s="1" t="s">
        <v>1206</v>
      </c>
      <c r="D452" t="str">
        <f t="shared" si="15"/>
        <v>elytra-597</v>
      </c>
      <c r="E452" t="str">
        <f t="shared" si="14"/>
        <v>ROD-SF-elytra-597</v>
      </c>
      <c r="F452" s="10" t="s">
        <v>26</v>
      </c>
      <c r="G452" s="39" t="s">
        <v>1331</v>
      </c>
    </row>
    <row r="453" spans="1:7" ht="15.75">
      <c r="A453" s="1">
        <v>452</v>
      </c>
      <c r="B453" s="3" t="s">
        <v>1737</v>
      </c>
      <c r="C453" s="1" t="s">
        <v>1206</v>
      </c>
      <c r="D453" t="str">
        <f t="shared" si="15"/>
        <v>elytra-598</v>
      </c>
      <c r="E453" t="str">
        <f t="shared" si="14"/>
        <v>ROD-SF-elytra-598</v>
      </c>
      <c r="F453" s="10" t="s">
        <v>26</v>
      </c>
      <c r="G453" s="39" t="s">
        <v>1331</v>
      </c>
    </row>
    <row r="454" spans="1:7" ht="15.75">
      <c r="A454" s="1">
        <v>453</v>
      </c>
      <c r="B454" s="3" t="s">
        <v>1738</v>
      </c>
      <c r="C454" s="1" t="s">
        <v>1206</v>
      </c>
      <c r="D454" t="str">
        <f t="shared" si="15"/>
        <v>elytra-599</v>
      </c>
      <c r="E454" t="str">
        <f t="shared" si="14"/>
        <v>ROD-SF-elytra-599</v>
      </c>
      <c r="F454" s="10" t="s">
        <v>35</v>
      </c>
      <c r="G454" s="39" t="s">
        <v>1331</v>
      </c>
    </row>
    <row r="455" spans="1:7" ht="15.75">
      <c r="A455" s="1">
        <v>454</v>
      </c>
      <c r="B455" s="3" t="s">
        <v>1739</v>
      </c>
      <c r="C455" s="1" t="s">
        <v>1206</v>
      </c>
      <c r="D455" t="str">
        <f t="shared" si="15"/>
        <v>elytra-600</v>
      </c>
      <c r="E455" t="str">
        <f t="shared" si="14"/>
        <v>ROD-SF-elytra-600</v>
      </c>
      <c r="F455" s="10" t="s">
        <v>26</v>
      </c>
      <c r="G455" s="39" t="s">
        <v>1331</v>
      </c>
    </row>
    <row r="456" spans="1:7" ht="15.75">
      <c r="A456" s="1">
        <v>455</v>
      </c>
      <c r="B456" s="3" t="s">
        <v>1740</v>
      </c>
      <c r="C456" s="1" t="s">
        <v>1206</v>
      </c>
      <c r="D456" t="str">
        <f t="shared" si="15"/>
        <v>elytra-601</v>
      </c>
      <c r="E456" t="str">
        <f t="shared" si="14"/>
        <v>ROD-SF-elytra-601</v>
      </c>
      <c r="F456" s="10" t="s">
        <v>35</v>
      </c>
      <c r="G456" s="39" t="s">
        <v>1331</v>
      </c>
    </row>
    <row r="457" spans="1:7" ht="15.75">
      <c r="A457" s="1">
        <v>456</v>
      </c>
      <c r="B457" s="3" t="s">
        <v>1741</v>
      </c>
      <c r="C457" s="1" t="s">
        <v>1206</v>
      </c>
      <c r="D457" t="str">
        <f t="shared" si="15"/>
        <v>elytra-602</v>
      </c>
      <c r="E457" t="str">
        <f t="shared" si="14"/>
        <v>ROD-SF-elytra-602</v>
      </c>
      <c r="F457" s="10" t="s">
        <v>26</v>
      </c>
      <c r="G457" s="39" t="s">
        <v>1331</v>
      </c>
    </row>
    <row r="458" spans="1:7" ht="15.75">
      <c r="A458" s="1">
        <v>457</v>
      </c>
      <c r="B458" s="3" t="s">
        <v>1742</v>
      </c>
      <c r="C458" s="1" t="s">
        <v>1206</v>
      </c>
      <c r="D458" t="str">
        <f t="shared" si="15"/>
        <v>elytra-603</v>
      </c>
      <c r="E458" t="str">
        <f t="shared" si="14"/>
        <v>ROD-SF-elytra-603</v>
      </c>
      <c r="F458" s="10" t="s">
        <v>35</v>
      </c>
      <c r="G458" s="39" t="s">
        <v>1331</v>
      </c>
    </row>
    <row r="459" spans="1:7" ht="15.75">
      <c r="A459" s="1">
        <v>458</v>
      </c>
      <c r="B459" s="3" t="s">
        <v>1743</v>
      </c>
      <c r="C459" s="1" t="s">
        <v>1206</v>
      </c>
      <c r="D459" t="str">
        <f t="shared" si="15"/>
        <v>elytra-604</v>
      </c>
      <c r="E459" t="str">
        <f t="shared" si="14"/>
        <v>ROD-SF-elytra-604</v>
      </c>
      <c r="F459" s="10" t="s">
        <v>26</v>
      </c>
      <c r="G459" s="39" t="s">
        <v>1331</v>
      </c>
    </row>
    <row r="460" spans="1:7" ht="15.75">
      <c r="A460" s="1">
        <v>459</v>
      </c>
      <c r="B460" s="3" t="s">
        <v>1744</v>
      </c>
      <c r="C460" s="1" t="s">
        <v>1206</v>
      </c>
      <c r="D460" t="str">
        <f t="shared" si="15"/>
        <v>elytra-605</v>
      </c>
      <c r="E460" t="str">
        <f t="shared" si="14"/>
        <v>ROD-SF-elytra-605</v>
      </c>
      <c r="F460" s="10" t="s">
        <v>26</v>
      </c>
      <c r="G460" s="39" t="s">
        <v>1331</v>
      </c>
    </row>
    <row r="461" spans="1:7" ht="15.75">
      <c r="A461" s="1">
        <v>460</v>
      </c>
      <c r="B461" s="3" t="s">
        <v>1745</v>
      </c>
      <c r="C461" s="1" t="s">
        <v>1206</v>
      </c>
      <c r="D461" t="str">
        <f t="shared" si="15"/>
        <v>elytra-606</v>
      </c>
      <c r="E461" t="str">
        <f t="shared" si="14"/>
        <v>ROD-SF-elytra-606</v>
      </c>
      <c r="F461" s="10" t="s">
        <v>26</v>
      </c>
      <c r="G461" s="39" t="s">
        <v>1331</v>
      </c>
    </row>
    <row r="462" spans="1:7" ht="15.75">
      <c r="A462" s="1">
        <v>461</v>
      </c>
      <c r="B462" s="3" t="s">
        <v>1746</v>
      </c>
      <c r="C462" s="1" t="s">
        <v>1206</v>
      </c>
      <c r="D462" t="str">
        <f t="shared" si="15"/>
        <v>elytra-607</v>
      </c>
      <c r="E462" t="str">
        <f t="shared" ref="E462:E525" si="16">C462&amp;D462</f>
        <v>ROD-SF-elytra-607</v>
      </c>
      <c r="F462" s="10" t="s">
        <v>26</v>
      </c>
      <c r="G462" s="39" t="s">
        <v>1331</v>
      </c>
    </row>
    <row r="463" spans="1:7" ht="15.75">
      <c r="A463" s="1">
        <v>462</v>
      </c>
      <c r="B463" s="3" t="s">
        <v>1747</v>
      </c>
      <c r="C463" s="1" t="s">
        <v>1206</v>
      </c>
      <c r="D463" t="str">
        <f t="shared" si="15"/>
        <v>elytra-608</v>
      </c>
      <c r="E463" t="str">
        <f t="shared" si="16"/>
        <v>ROD-SF-elytra-608</v>
      </c>
      <c r="F463" s="10" t="s">
        <v>35</v>
      </c>
      <c r="G463" s="39" t="s">
        <v>1331</v>
      </c>
    </row>
    <row r="464" spans="1:7" ht="15.75">
      <c r="A464" s="1">
        <v>463</v>
      </c>
      <c r="B464" s="3" t="s">
        <v>1748</v>
      </c>
      <c r="C464" s="1" t="s">
        <v>1206</v>
      </c>
      <c r="D464" t="str">
        <f t="shared" si="15"/>
        <v>elytra-609</v>
      </c>
      <c r="E464" t="str">
        <f t="shared" si="16"/>
        <v>ROD-SF-elytra-609</v>
      </c>
      <c r="F464" s="10" t="s">
        <v>26</v>
      </c>
      <c r="G464" s="39" t="s">
        <v>1331</v>
      </c>
    </row>
    <row r="465" spans="1:7" ht="15.75">
      <c r="A465" s="1">
        <v>464</v>
      </c>
      <c r="B465" s="3" t="s">
        <v>1749</v>
      </c>
      <c r="C465" s="1" t="s">
        <v>1206</v>
      </c>
      <c r="D465" t="str">
        <f t="shared" si="15"/>
        <v>elytra-610</v>
      </c>
      <c r="E465" t="str">
        <f t="shared" si="16"/>
        <v>ROD-SF-elytra-610</v>
      </c>
      <c r="F465" s="10" t="s">
        <v>35</v>
      </c>
      <c r="G465" s="39" t="s">
        <v>1331</v>
      </c>
    </row>
    <row r="466" spans="1:7" ht="15.75">
      <c r="A466" s="1">
        <v>465</v>
      </c>
      <c r="B466" s="3" t="s">
        <v>1750</v>
      </c>
      <c r="C466" s="1" t="s">
        <v>1206</v>
      </c>
      <c r="D466" t="str">
        <f t="shared" si="15"/>
        <v>elytra-611</v>
      </c>
      <c r="E466" t="str">
        <f t="shared" si="16"/>
        <v>ROD-SF-elytra-611</v>
      </c>
      <c r="F466" s="10" t="s">
        <v>26</v>
      </c>
      <c r="G466" s="39" t="s">
        <v>1331</v>
      </c>
    </row>
    <row r="467" spans="1:7" ht="15.75">
      <c r="A467" s="1">
        <v>466</v>
      </c>
      <c r="B467" s="3" t="s">
        <v>1751</v>
      </c>
      <c r="C467" s="1" t="s">
        <v>1206</v>
      </c>
      <c r="D467" t="str">
        <f t="shared" si="15"/>
        <v>elytra-612</v>
      </c>
      <c r="E467" t="str">
        <f t="shared" si="16"/>
        <v>ROD-SF-elytra-612</v>
      </c>
      <c r="F467" s="10" t="s">
        <v>26</v>
      </c>
      <c r="G467" s="39" t="s">
        <v>1331</v>
      </c>
    </row>
    <row r="468" spans="1:7" ht="15.75">
      <c r="A468" s="1">
        <v>467</v>
      </c>
      <c r="B468" s="3" t="s">
        <v>1752</v>
      </c>
      <c r="C468" s="1" t="s">
        <v>1206</v>
      </c>
      <c r="D468" t="str">
        <f t="shared" si="15"/>
        <v>elytra-613</v>
      </c>
      <c r="E468" t="str">
        <f t="shared" si="16"/>
        <v>ROD-SF-elytra-613</v>
      </c>
      <c r="F468" s="10" t="s">
        <v>35</v>
      </c>
      <c r="G468" s="39" t="s">
        <v>1331</v>
      </c>
    </row>
    <row r="469" spans="1:7" ht="15.75">
      <c r="A469" s="1">
        <v>468</v>
      </c>
      <c r="B469" s="3" t="s">
        <v>1753</v>
      </c>
      <c r="C469" s="1" t="s">
        <v>1206</v>
      </c>
      <c r="D469" t="str">
        <f t="shared" si="15"/>
        <v>elytra-614</v>
      </c>
      <c r="E469" t="str">
        <f t="shared" si="16"/>
        <v>ROD-SF-elytra-614</v>
      </c>
      <c r="F469" s="10" t="s">
        <v>35</v>
      </c>
      <c r="G469" s="39" t="s">
        <v>1331</v>
      </c>
    </row>
    <row r="470" spans="1:7" ht="15.75">
      <c r="A470" s="1">
        <v>469</v>
      </c>
      <c r="B470" s="3" t="s">
        <v>1754</v>
      </c>
      <c r="C470" s="1" t="s">
        <v>1206</v>
      </c>
      <c r="D470" t="str">
        <f t="shared" si="15"/>
        <v>elytra-615</v>
      </c>
      <c r="E470" t="str">
        <f t="shared" si="16"/>
        <v>ROD-SF-elytra-615</v>
      </c>
      <c r="F470" s="10" t="s">
        <v>35</v>
      </c>
      <c r="G470" s="39" t="s">
        <v>1331</v>
      </c>
    </row>
    <row r="471" spans="1:7" ht="15.75">
      <c r="A471" s="1">
        <v>470</v>
      </c>
      <c r="B471" s="3" t="s">
        <v>1755</v>
      </c>
      <c r="C471" s="1" t="s">
        <v>1206</v>
      </c>
      <c r="D471" t="str">
        <f t="shared" si="15"/>
        <v>elytra-616</v>
      </c>
      <c r="E471" t="str">
        <f t="shared" si="16"/>
        <v>ROD-SF-elytra-616</v>
      </c>
      <c r="F471" s="10" t="s">
        <v>35</v>
      </c>
      <c r="G471" s="39" t="s">
        <v>1331</v>
      </c>
    </row>
    <row r="472" spans="1:7" ht="15.75">
      <c r="A472" s="1">
        <v>471</v>
      </c>
      <c r="B472" s="3" t="s">
        <v>1756</v>
      </c>
      <c r="C472" s="1" t="s">
        <v>1206</v>
      </c>
      <c r="D472" t="str">
        <f t="shared" si="15"/>
        <v>elytra-617</v>
      </c>
      <c r="E472" t="str">
        <f t="shared" si="16"/>
        <v>ROD-SF-elytra-617</v>
      </c>
      <c r="F472" s="10" t="s">
        <v>35</v>
      </c>
      <c r="G472" s="39" t="s">
        <v>1331</v>
      </c>
    </row>
    <row r="473" spans="1:7" ht="15.75">
      <c r="A473" s="1">
        <v>472</v>
      </c>
      <c r="B473" s="3" t="s">
        <v>1757</v>
      </c>
      <c r="C473" s="1" t="s">
        <v>1206</v>
      </c>
      <c r="D473" t="str">
        <f t="shared" si="15"/>
        <v>elytra-618</v>
      </c>
      <c r="E473" t="str">
        <f t="shared" si="16"/>
        <v>ROD-SF-elytra-618</v>
      </c>
      <c r="F473" s="10" t="s">
        <v>35</v>
      </c>
      <c r="G473" s="39" t="s">
        <v>1331</v>
      </c>
    </row>
    <row r="474" spans="1:7" ht="15.75">
      <c r="A474" s="1">
        <v>473</v>
      </c>
      <c r="B474" s="3" t="s">
        <v>1758</v>
      </c>
      <c r="C474" s="1" t="s">
        <v>1206</v>
      </c>
      <c r="D474" t="str">
        <f t="shared" si="15"/>
        <v>elytra-619</v>
      </c>
      <c r="E474" t="str">
        <f t="shared" si="16"/>
        <v>ROD-SF-elytra-619</v>
      </c>
      <c r="F474" s="10" t="s">
        <v>35</v>
      </c>
      <c r="G474" s="39" t="s">
        <v>1331</v>
      </c>
    </row>
    <row r="475" spans="1:7" ht="15.75">
      <c r="A475" s="1">
        <v>474</v>
      </c>
      <c r="B475" s="3" t="s">
        <v>1759</v>
      </c>
      <c r="C475" s="1" t="s">
        <v>1206</v>
      </c>
      <c r="D475" t="str">
        <f t="shared" si="15"/>
        <v>elytra-620</v>
      </c>
      <c r="E475" t="str">
        <f t="shared" si="16"/>
        <v>ROD-SF-elytra-620</v>
      </c>
      <c r="F475" s="10" t="s">
        <v>26</v>
      </c>
      <c r="G475" s="39" t="s">
        <v>1331</v>
      </c>
    </row>
    <row r="476" spans="1:7" ht="15.75">
      <c r="A476" s="1">
        <v>475</v>
      </c>
      <c r="B476" s="3" t="s">
        <v>1760</v>
      </c>
      <c r="C476" s="1" t="s">
        <v>1206</v>
      </c>
      <c r="D476" t="str">
        <f t="shared" si="15"/>
        <v>elytra-621</v>
      </c>
      <c r="E476" t="str">
        <f t="shared" si="16"/>
        <v>ROD-SF-elytra-621</v>
      </c>
      <c r="F476" s="10" t="s">
        <v>35</v>
      </c>
      <c r="G476" s="39" t="s">
        <v>1331</v>
      </c>
    </row>
    <row r="477" spans="1:7" ht="15.75">
      <c r="A477" s="1">
        <v>476</v>
      </c>
      <c r="B477" s="3" t="s">
        <v>1761</v>
      </c>
      <c r="C477" s="1" t="s">
        <v>1206</v>
      </c>
      <c r="D477" t="str">
        <f t="shared" si="15"/>
        <v>elytra-622</v>
      </c>
      <c r="E477" t="str">
        <f t="shared" si="16"/>
        <v>ROD-SF-elytra-622</v>
      </c>
      <c r="F477" s="10" t="s">
        <v>26</v>
      </c>
      <c r="G477" s="39" t="s">
        <v>1331</v>
      </c>
    </row>
    <row r="478" spans="1:7" ht="15.75">
      <c r="A478" s="1">
        <v>477</v>
      </c>
      <c r="B478" s="3" t="s">
        <v>1762</v>
      </c>
      <c r="C478" s="1" t="s">
        <v>1206</v>
      </c>
      <c r="D478" t="str">
        <f t="shared" si="15"/>
        <v>elytra-623</v>
      </c>
      <c r="E478" t="str">
        <f t="shared" si="16"/>
        <v>ROD-SF-elytra-623</v>
      </c>
      <c r="F478" s="10" t="s">
        <v>35</v>
      </c>
      <c r="G478" s="39" t="s">
        <v>1331</v>
      </c>
    </row>
    <row r="479" spans="1:7" ht="15.75">
      <c r="A479" s="1">
        <v>478</v>
      </c>
      <c r="B479" s="3" t="s">
        <v>1763</v>
      </c>
      <c r="C479" s="1" t="s">
        <v>1206</v>
      </c>
      <c r="D479" t="str">
        <f t="shared" si="15"/>
        <v>elytra-624</v>
      </c>
      <c r="E479" t="str">
        <f t="shared" si="16"/>
        <v>ROD-SF-elytra-624</v>
      </c>
      <c r="F479" s="10" t="s">
        <v>26</v>
      </c>
      <c r="G479" s="39" t="s">
        <v>1331</v>
      </c>
    </row>
    <row r="480" spans="1:7" ht="15.75">
      <c r="A480" s="1">
        <v>479</v>
      </c>
      <c r="B480" s="3" t="s">
        <v>1764</v>
      </c>
      <c r="C480" s="1" t="s">
        <v>1206</v>
      </c>
      <c r="D480" t="str">
        <f t="shared" si="15"/>
        <v>elytra-625</v>
      </c>
      <c r="E480" t="str">
        <f t="shared" si="16"/>
        <v>ROD-SF-elytra-625</v>
      </c>
      <c r="F480" s="10" t="s">
        <v>26</v>
      </c>
      <c r="G480" s="39" t="s">
        <v>1331</v>
      </c>
    </row>
    <row r="481" spans="1:7" ht="15.75">
      <c r="A481" s="1">
        <v>480</v>
      </c>
      <c r="B481" s="3" t="s">
        <v>1765</v>
      </c>
      <c r="C481" s="1" t="s">
        <v>1206</v>
      </c>
      <c r="D481" t="str">
        <f t="shared" si="15"/>
        <v>elytra-626</v>
      </c>
      <c r="E481" t="str">
        <f t="shared" si="16"/>
        <v>ROD-SF-elytra-626</v>
      </c>
      <c r="F481" s="10" t="s">
        <v>26</v>
      </c>
      <c r="G481" s="39" t="s">
        <v>1331</v>
      </c>
    </row>
    <row r="482" spans="1:7" ht="15.75">
      <c r="A482" s="1">
        <v>481</v>
      </c>
      <c r="B482" s="3" t="s">
        <v>1766</v>
      </c>
      <c r="C482" s="1" t="s">
        <v>1206</v>
      </c>
      <c r="D482" t="str">
        <f t="shared" si="15"/>
        <v>elytra-627</v>
      </c>
      <c r="E482" t="str">
        <f t="shared" si="16"/>
        <v>ROD-SF-elytra-627</v>
      </c>
      <c r="F482" s="10" t="s">
        <v>26</v>
      </c>
      <c r="G482" s="39" t="s">
        <v>1331</v>
      </c>
    </row>
    <row r="483" spans="1:7" ht="15.75">
      <c r="A483" s="1">
        <v>482</v>
      </c>
      <c r="B483" s="3" t="s">
        <v>1767</v>
      </c>
      <c r="C483" s="1" t="s">
        <v>1206</v>
      </c>
      <c r="D483" t="str">
        <f t="shared" si="15"/>
        <v>elytra-628</v>
      </c>
      <c r="E483" t="str">
        <f t="shared" si="16"/>
        <v>ROD-SF-elytra-628</v>
      </c>
      <c r="F483" s="10" t="s">
        <v>35</v>
      </c>
      <c r="G483" s="39" t="s">
        <v>1331</v>
      </c>
    </row>
    <row r="484" spans="1:7" ht="15.75">
      <c r="A484" s="1">
        <v>483</v>
      </c>
      <c r="B484" s="3" t="s">
        <v>1768</v>
      </c>
      <c r="C484" s="1" t="s">
        <v>1206</v>
      </c>
      <c r="D484" t="str">
        <f t="shared" si="15"/>
        <v>elytra-629</v>
      </c>
      <c r="E484" t="str">
        <f t="shared" si="16"/>
        <v>ROD-SF-elytra-629</v>
      </c>
      <c r="F484" s="10" t="s">
        <v>26</v>
      </c>
      <c r="G484" s="39" t="s">
        <v>1331</v>
      </c>
    </row>
    <row r="485" spans="1:7" ht="15.75">
      <c r="A485" s="1">
        <v>484</v>
      </c>
      <c r="B485" s="3" t="s">
        <v>1769</v>
      </c>
      <c r="C485" s="1" t="s">
        <v>1206</v>
      </c>
      <c r="D485" t="str">
        <f t="shared" ref="D485:D548" si="17">RIGHT(B485,10)</f>
        <v>elytra-630</v>
      </c>
      <c r="E485" t="str">
        <f t="shared" si="16"/>
        <v>ROD-SF-elytra-630</v>
      </c>
      <c r="F485" s="10" t="s">
        <v>26</v>
      </c>
      <c r="G485" s="39" t="s">
        <v>1331</v>
      </c>
    </row>
    <row r="486" spans="1:7" ht="15.75">
      <c r="A486" s="1">
        <v>485</v>
      </c>
      <c r="B486" s="3" t="s">
        <v>1770</v>
      </c>
      <c r="C486" s="1" t="s">
        <v>1206</v>
      </c>
      <c r="D486" t="str">
        <f t="shared" si="17"/>
        <v>elytra-631</v>
      </c>
      <c r="E486" t="str">
        <f t="shared" si="16"/>
        <v>ROD-SF-elytra-631</v>
      </c>
      <c r="F486" s="10" t="s">
        <v>26</v>
      </c>
      <c r="G486" s="39" t="s">
        <v>1331</v>
      </c>
    </row>
    <row r="487" spans="1:7" ht="15.75">
      <c r="A487" s="1">
        <v>486</v>
      </c>
      <c r="B487" s="3" t="s">
        <v>1771</v>
      </c>
      <c r="C487" s="1" t="s">
        <v>1206</v>
      </c>
      <c r="D487" t="str">
        <f t="shared" si="17"/>
        <v>elytra-632</v>
      </c>
      <c r="E487" t="str">
        <f t="shared" si="16"/>
        <v>ROD-SF-elytra-632</v>
      </c>
      <c r="F487" s="10" t="s">
        <v>26</v>
      </c>
      <c r="G487" s="39" t="s">
        <v>1331</v>
      </c>
    </row>
    <row r="488" spans="1:7" ht="15.75">
      <c r="A488" s="1">
        <v>487</v>
      </c>
      <c r="B488" s="3" t="s">
        <v>1772</v>
      </c>
      <c r="C488" s="1" t="s">
        <v>1206</v>
      </c>
      <c r="D488" t="str">
        <f t="shared" si="17"/>
        <v>elytra-633</v>
      </c>
      <c r="E488" t="str">
        <f t="shared" si="16"/>
        <v>ROD-SF-elytra-633</v>
      </c>
      <c r="F488" s="10" t="s">
        <v>35</v>
      </c>
      <c r="G488" s="39" t="s">
        <v>1331</v>
      </c>
    </row>
    <row r="489" spans="1:7" ht="15.75">
      <c r="A489" s="1">
        <v>488</v>
      </c>
      <c r="B489" s="3" t="s">
        <v>1773</v>
      </c>
      <c r="C489" s="1" t="s">
        <v>1206</v>
      </c>
      <c r="D489" t="str">
        <f t="shared" si="17"/>
        <v>elytra-634</v>
      </c>
      <c r="E489" t="str">
        <f t="shared" si="16"/>
        <v>ROD-SF-elytra-634</v>
      </c>
      <c r="F489" s="10" t="s">
        <v>35</v>
      </c>
      <c r="G489" s="39" t="s">
        <v>1331</v>
      </c>
    </row>
    <row r="490" spans="1:7" ht="15.75">
      <c r="A490" s="1">
        <v>489</v>
      </c>
      <c r="B490" s="3" t="s">
        <v>1774</v>
      </c>
      <c r="C490" s="1" t="s">
        <v>1206</v>
      </c>
      <c r="D490" t="str">
        <f t="shared" si="17"/>
        <v>elytra-635</v>
      </c>
      <c r="E490" t="str">
        <f t="shared" si="16"/>
        <v>ROD-SF-elytra-635</v>
      </c>
      <c r="F490" s="10" t="s">
        <v>35</v>
      </c>
      <c r="G490" s="39" t="s">
        <v>1331</v>
      </c>
    </row>
    <row r="491" spans="1:7" ht="15.75">
      <c r="A491" s="1">
        <v>490</v>
      </c>
      <c r="B491" s="3" t="s">
        <v>1775</v>
      </c>
      <c r="C491" s="1" t="s">
        <v>1206</v>
      </c>
      <c r="D491" t="str">
        <f t="shared" si="17"/>
        <v>elytra-636</v>
      </c>
      <c r="E491" t="str">
        <f t="shared" si="16"/>
        <v>ROD-SF-elytra-636</v>
      </c>
      <c r="F491" s="10" t="s">
        <v>26</v>
      </c>
      <c r="G491" s="39" t="s">
        <v>1331</v>
      </c>
    </row>
    <row r="492" spans="1:7" ht="15.75">
      <c r="A492" s="1">
        <v>491</v>
      </c>
      <c r="B492" s="3" t="s">
        <v>1776</v>
      </c>
      <c r="C492" s="1" t="s">
        <v>1206</v>
      </c>
      <c r="D492" t="str">
        <f t="shared" si="17"/>
        <v>elytra-637</v>
      </c>
      <c r="E492" t="str">
        <f t="shared" si="16"/>
        <v>ROD-SF-elytra-637</v>
      </c>
      <c r="F492" s="10" t="s">
        <v>26</v>
      </c>
      <c r="G492" s="39" t="s">
        <v>1331</v>
      </c>
    </row>
    <row r="493" spans="1:7" ht="15.75">
      <c r="A493" s="1">
        <v>492</v>
      </c>
      <c r="B493" s="3" t="s">
        <v>1777</v>
      </c>
      <c r="C493" s="1" t="s">
        <v>1206</v>
      </c>
      <c r="D493" t="str">
        <f t="shared" si="17"/>
        <v>elytra-638</v>
      </c>
      <c r="E493" t="str">
        <f t="shared" si="16"/>
        <v>ROD-SF-elytra-638</v>
      </c>
      <c r="F493" s="10" t="s">
        <v>26</v>
      </c>
      <c r="G493" s="39" t="s">
        <v>1331</v>
      </c>
    </row>
    <row r="494" spans="1:7" ht="15.75">
      <c r="A494" s="1">
        <v>493</v>
      </c>
      <c r="B494" s="3" t="s">
        <v>1778</v>
      </c>
      <c r="C494" s="1" t="s">
        <v>1206</v>
      </c>
      <c r="D494" t="str">
        <f t="shared" si="17"/>
        <v>elytra-639</v>
      </c>
      <c r="E494" t="str">
        <f t="shared" si="16"/>
        <v>ROD-SF-elytra-639</v>
      </c>
      <c r="F494" s="10" t="s">
        <v>26</v>
      </c>
      <c r="G494" s="39" t="s">
        <v>1331</v>
      </c>
    </row>
    <row r="495" spans="1:7" ht="15.75">
      <c r="A495" s="1">
        <v>494</v>
      </c>
      <c r="B495" s="3" t="s">
        <v>1779</v>
      </c>
      <c r="C495" s="1" t="s">
        <v>1206</v>
      </c>
      <c r="D495" t="str">
        <f t="shared" si="17"/>
        <v>elytra-640</v>
      </c>
      <c r="E495" t="str">
        <f t="shared" si="16"/>
        <v>ROD-SF-elytra-640</v>
      </c>
      <c r="F495" s="10" t="s">
        <v>26</v>
      </c>
      <c r="G495" s="39" t="s">
        <v>1331</v>
      </c>
    </row>
    <row r="496" spans="1:7" ht="15.75">
      <c r="A496" s="1">
        <v>495</v>
      </c>
      <c r="B496" s="3" t="s">
        <v>1780</v>
      </c>
      <c r="C496" s="1" t="s">
        <v>1206</v>
      </c>
      <c r="D496" t="str">
        <f t="shared" si="17"/>
        <v>elytra-641</v>
      </c>
      <c r="E496" t="str">
        <f t="shared" si="16"/>
        <v>ROD-SF-elytra-641</v>
      </c>
      <c r="F496" s="10" t="s">
        <v>26</v>
      </c>
      <c r="G496" s="39" t="s">
        <v>1331</v>
      </c>
    </row>
    <row r="497" spans="1:7" ht="15.75">
      <c r="A497" s="1">
        <v>496</v>
      </c>
      <c r="B497" s="3" t="s">
        <v>1781</v>
      </c>
      <c r="C497" s="1" t="s">
        <v>1206</v>
      </c>
      <c r="D497" t="str">
        <f t="shared" si="17"/>
        <v>elytra-642</v>
      </c>
      <c r="E497" t="str">
        <f t="shared" si="16"/>
        <v>ROD-SF-elytra-642</v>
      </c>
      <c r="F497" s="10" t="s">
        <v>35</v>
      </c>
      <c r="G497" s="39" t="s">
        <v>1331</v>
      </c>
    </row>
    <row r="498" spans="1:7" ht="15.75">
      <c r="A498" s="1">
        <v>497</v>
      </c>
      <c r="B498" s="3" t="s">
        <v>1782</v>
      </c>
      <c r="C498" s="1" t="s">
        <v>1206</v>
      </c>
      <c r="D498" t="str">
        <f t="shared" si="17"/>
        <v>elytra-643</v>
      </c>
      <c r="E498" t="str">
        <f t="shared" si="16"/>
        <v>ROD-SF-elytra-643</v>
      </c>
      <c r="F498" s="10" t="s">
        <v>35</v>
      </c>
      <c r="G498" s="39" t="s">
        <v>1331</v>
      </c>
    </row>
    <row r="499" spans="1:7" ht="15.75">
      <c r="A499" s="1">
        <v>498</v>
      </c>
      <c r="B499" s="3" t="s">
        <v>1783</v>
      </c>
      <c r="C499" s="1" t="s">
        <v>1206</v>
      </c>
      <c r="D499" t="str">
        <f t="shared" si="17"/>
        <v>elytra-644</v>
      </c>
      <c r="E499" t="str">
        <f t="shared" si="16"/>
        <v>ROD-SF-elytra-644</v>
      </c>
      <c r="F499" s="10" t="s">
        <v>26</v>
      </c>
      <c r="G499" s="39" t="s">
        <v>1331</v>
      </c>
    </row>
    <row r="500" spans="1:7" ht="15.75">
      <c r="A500" s="1">
        <v>499</v>
      </c>
      <c r="B500" s="3" t="s">
        <v>1784</v>
      </c>
      <c r="C500" s="1" t="s">
        <v>1206</v>
      </c>
      <c r="D500" t="str">
        <f t="shared" si="17"/>
        <v>elytra-645</v>
      </c>
      <c r="E500" t="str">
        <f t="shared" si="16"/>
        <v>ROD-SF-elytra-645</v>
      </c>
      <c r="F500" s="10" t="s">
        <v>35</v>
      </c>
      <c r="G500" s="39" t="s">
        <v>1331</v>
      </c>
    </row>
    <row r="501" spans="1:7" ht="15.75">
      <c r="A501" s="1">
        <v>500</v>
      </c>
      <c r="B501" s="3" t="s">
        <v>1785</v>
      </c>
      <c r="C501" s="1" t="s">
        <v>1206</v>
      </c>
      <c r="D501" t="str">
        <f t="shared" si="17"/>
        <v>elytra-646</v>
      </c>
      <c r="E501" t="str">
        <f t="shared" si="16"/>
        <v>ROD-SF-elytra-646</v>
      </c>
      <c r="F501" s="10" t="s">
        <v>26</v>
      </c>
      <c r="G501" s="39" t="s">
        <v>1331</v>
      </c>
    </row>
    <row r="502" spans="1:7" ht="15.75">
      <c r="A502" s="1">
        <v>501</v>
      </c>
      <c r="B502" s="3" t="s">
        <v>1786</v>
      </c>
      <c r="C502" s="1" t="s">
        <v>1206</v>
      </c>
      <c r="D502" t="str">
        <f t="shared" si="17"/>
        <v>elytra-647</v>
      </c>
      <c r="E502" t="str">
        <f t="shared" si="16"/>
        <v>ROD-SF-elytra-647</v>
      </c>
      <c r="F502" s="10" t="s">
        <v>26</v>
      </c>
      <c r="G502" s="39" t="s">
        <v>1331</v>
      </c>
    </row>
    <row r="503" spans="1:7" ht="15.75">
      <c r="A503" s="1">
        <v>502</v>
      </c>
      <c r="B503" s="3" t="s">
        <v>1787</v>
      </c>
      <c r="C503" s="1" t="s">
        <v>1206</v>
      </c>
      <c r="D503" t="str">
        <f t="shared" si="17"/>
        <v>elytra-648</v>
      </c>
      <c r="E503" t="str">
        <f t="shared" si="16"/>
        <v>ROD-SF-elytra-648</v>
      </c>
      <c r="F503" s="10" t="s">
        <v>35</v>
      </c>
      <c r="G503" s="39" t="s">
        <v>1331</v>
      </c>
    </row>
    <row r="504" spans="1:7" ht="15.75">
      <c r="A504" s="1">
        <v>503</v>
      </c>
      <c r="B504" s="3" t="s">
        <v>1788</v>
      </c>
      <c r="C504" s="1" t="s">
        <v>1206</v>
      </c>
      <c r="D504" t="str">
        <f t="shared" si="17"/>
        <v>elytra-649</v>
      </c>
      <c r="E504" t="str">
        <f t="shared" si="16"/>
        <v>ROD-SF-elytra-649</v>
      </c>
      <c r="F504" s="10" t="s">
        <v>26</v>
      </c>
      <c r="G504" s="39" t="s">
        <v>1331</v>
      </c>
    </row>
    <row r="505" spans="1:7" ht="15.75">
      <c r="A505" s="1">
        <v>504</v>
      </c>
      <c r="B505" s="3" t="s">
        <v>1789</v>
      </c>
      <c r="C505" s="1" t="s">
        <v>1206</v>
      </c>
      <c r="D505" t="str">
        <f t="shared" si="17"/>
        <v>elytra-650</v>
      </c>
      <c r="E505" t="str">
        <f t="shared" si="16"/>
        <v>ROD-SF-elytra-650</v>
      </c>
      <c r="F505" s="10" t="s">
        <v>26</v>
      </c>
      <c r="G505" s="39" t="s">
        <v>1331</v>
      </c>
    </row>
    <row r="506" spans="1:7" ht="15.75">
      <c r="A506" s="1">
        <v>505</v>
      </c>
      <c r="B506" s="3" t="s">
        <v>1790</v>
      </c>
      <c r="C506" s="1" t="s">
        <v>1206</v>
      </c>
      <c r="D506" t="str">
        <f t="shared" si="17"/>
        <v>elytra-651</v>
      </c>
      <c r="E506" t="str">
        <f t="shared" si="16"/>
        <v>ROD-SF-elytra-651</v>
      </c>
      <c r="F506" s="10" t="s">
        <v>26</v>
      </c>
      <c r="G506" s="39" t="s">
        <v>1331</v>
      </c>
    </row>
    <row r="507" spans="1:7" ht="15.75">
      <c r="A507" s="1">
        <v>506</v>
      </c>
      <c r="B507" s="3" t="s">
        <v>1791</v>
      </c>
      <c r="C507" s="1" t="s">
        <v>1206</v>
      </c>
      <c r="D507" t="str">
        <f t="shared" si="17"/>
        <v>elytra-652</v>
      </c>
      <c r="E507" t="str">
        <f t="shared" si="16"/>
        <v>ROD-SF-elytra-652</v>
      </c>
      <c r="F507" s="10" t="s">
        <v>26</v>
      </c>
      <c r="G507" s="39" t="s">
        <v>1331</v>
      </c>
    </row>
    <row r="508" spans="1:7" ht="15.75">
      <c r="A508" s="1">
        <v>507</v>
      </c>
      <c r="B508" s="3" t="s">
        <v>1792</v>
      </c>
      <c r="C508" s="1" t="s">
        <v>1206</v>
      </c>
      <c r="D508" t="str">
        <f t="shared" si="17"/>
        <v>elytra-653</v>
      </c>
      <c r="E508" t="str">
        <f t="shared" si="16"/>
        <v>ROD-SF-elytra-653</v>
      </c>
      <c r="F508" s="10" t="s">
        <v>35</v>
      </c>
      <c r="G508" s="39" t="s">
        <v>1331</v>
      </c>
    </row>
    <row r="509" spans="1:7" ht="15.75">
      <c r="A509" s="1">
        <v>508</v>
      </c>
      <c r="B509" s="3" t="s">
        <v>1793</v>
      </c>
      <c r="C509" s="1" t="s">
        <v>1206</v>
      </c>
      <c r="D509" t="str">
        <f t="shared" si="17"/>
        <v>elytra-654</v>
      </c>
      <c r="E509" t="str">
        <f t="shared" si="16"/>
        <v>ROD-SF-elytra-654</v>
      </c>
      <c r="F509" s="10" t="s">
        <v>26</v>
      </c>
      <c r="G509" s="39" t="s">
        <v>1331</v>
      </c>
    </row>
    <row r="510" spans="1:7" ht="15.75">
      <c r="A510" s="1">
        <v>509</v>
      </c>
      <c r="B510" s="3" t="s">
        <v>1794</v>
      </c>
      <c r="C510" s="1" t="s">
        <v>1206</v>
      </c>
      <c r="D510" t="str">
        <f t="shared" si="17"/>
        <v>elytra-655</v>
      </c>
      <c r="E510" t="str">
        <f t="shared" si="16"/>
        <v>ROD-SF-elytra-655</v>
      </c>
      <c r="F510" s="10" t="s">
        <v>26</v>
      </c>
      <c r="G510" s="39" t="s">
        <v>1331</v>
      </c>
    </row>
    <row r="511" spans="1:7" ht="15.75">
      <c r="A511" s="1">
        <v>510</v>
      </c>
      <c r="B511" s="3" t="s">
        <v>1795</v>
      </c>
      <c r="C511" s="1" t="s">
        <v>1206</v>
      </c>
      <c r="D511" t="str">
        <f t="shared" si="17"/>
        <v>elytra-656</v>
      </c>
      <c r="E511" t="str">
        <f t="shared" si="16"/>
        <v>ROD-SF-elytra-656</v>
      </c>
      <c r="F511" s="10" t="s">
        <v>26</v>
      </c>
      <c r="G511" s="39" t="s">
        <v>1331</v>
      </c>
    </row>
    <row r="512" spans="1:7" ht="15.75">
      <c r="A512" s="1">
        <v>511</v>
      </c>
      <c r="B512" s="3" t="s">
        <v>1796</v>
      </c>
      <c r="C512" s="1" t="s">
        <v>1206</v>
      </c>
      <c r="D512" t="str">
        <f t="shared" si="17"/>
        <v>elytra-657</v>
      </c>
      <c r="E512" t="str">
        <f t="shared" si="16"/>
        <v>ROD-SF-elytra-657</v>
      </c>
      <c r="F512" s="10" t="s">
        <v>26</v>
      </c>
      <c r="G512" s="39" t="s">
        <v>1331</v>
      </c>
    </row>
    <row r="513" spans="1:7" ht="15.75">
      <c r="A513" s="1">
        <v>512</v>
      </c>
      <c r="B513" s="3" t="s">
        <v>1797</v>
      </c>
      <c r="C513" s="1" t="s">
        <v>1206</v>
      </c>
      <c r="D513" t="str">
        <f t="shared" si="17"/>
        <v>elytra-658</v>
      </c>
      <c r="E513" t="str">
        <f t="shared" si="16"/>
        <v>ROD-SF-elytra-658</v>
      </c>
      <c r="F513" s="10" t="s">
        <v>26</v>
      </c>
      <c r="G513" s="39" t="s">
        <v>1331</v>
      </c>
    </row>
    <row r="514" spans="1:7" ht="15.75">
      <c r="A514" s="1">
        <v>513</v>
      </c>
      <c r="B514" s="3" t="s">
        <v>1798</v>
      </c>
      <c r="C514" s="1" t="s">
        <v>1206</v>
      </c>
      <c r="D514" t="str">
        <f t="shared" si="17"/>
        <v>elytra-659</v>
      </c>
      <c r="E514" t="str">
        <f t="shared" si="16"/>
        <v>ROD-SF-elytra-659</v>
      </c>
      <c r="F514" s="10" t="s">
        <v>26</v>
      </c>
      <c r="G514" s="39" t="s">
        <v>1331</v>
      </c>
    </row>
    <row r="515" spans="1:7" ht="15.75">
      <c r="A515" s="1">
        <v>514</v>
      </c>
      <c r="B515" s="3" t="s">
        <v>1799</v>
      </c>
      <c r="C515" s="1" t="s">
        <v>1206</v>
      </c>
      <c r="D515" t="str">
        <f t="shared" si="17"/>
        <v>elytra-660</v>
      </c>
      <c r="E515" t="str">
        <f t="shared" si="16"/>
        <v>ROD-SF-elytra-660</v>
      </c>
      <c r="F515" s="10" t="s">
        <v>26</v>
      </c>
      <c r="G515" s="39" t="s">
        <v>1331</v>
      </c>
    </row>
    <row r="516" spans="1:7" ht="15.75">
      <c r="A516" s="1">
        <v>515</v>
      </c>
      <c r="B516" s="3" t="s">
        <v>1800</v>
      </c>
      <c r="C516" s="1" t="s">
        <v>1206</v>
      </c>
      <c r="D516" t="str">
        <f t="shared" si="17"/>
        <v>elytra-661</v>
      </c>
      <c r="E516" t="str">
        <f t="shared" si="16"/>
        <v>ROD-SF-elytra-661</v>
      </c>
      <c r="F516" s="10" t="s">
        <v>26</v>
      </c>
      <c r="G516" s="39" t="s">
        <v>1331</v>
      </c>
    </row>
    <row r="517" spans="1:7" ht="15.75">
      <c r="A517" s="1">
        <v>516</v>
      </c>
      <c r="B517" s="3" t="s">
        <v>1801</v>
      </c>
      <c r="C517" s="1" t="s">
        <v>1206</v>
      </c>
      <c r="D517" t="str">
        <f t="shared" si="17"/>
        <v>elytra-662</v>
      </c>
      <c r="E517" t="str">
        <f t="shared" si="16"/>
        <v>ROD-SF-elytra-662</v>
      </c>
      <c r="F517" s="10" t="s">
        <v>35</v>
      </c>
      <c r="G517" s="39" t="s">
        <v>1331</v>
      </c>
    </row>
    <row r="518" spans="1:7" ht="15.75">
      <c r="A518" s="1">
        <v>517</v>
      </c>
      <c r="B518" s="3" t="s">
        <v>1802</v>
      </c>
      <c r="C518" s="1" t="s">
        <v>1206</v>
      </c>
      <c r="D518" t="str">
        <f t="shared" si="17"/>
        <v>elytra-663</v>
      </c>
      <c r="E518" t="str">
        <f t="shared" si="16"/>
        <v>ROD-SF-elytra-663</v>
      </c>
      <c r="F518" s="10" t="s">
        <v>35</v>
      </c>
      <c r="G518" s="39" t="s">
        <v>1331</v>
      </c>
    </row>
    <row r="519" spans="1:7" ht="15.75">
      <c r="A519" s="1">
        <v>518</v>
      </c>
      <c r="B519" s="3" t="s">
        <v>1803</v>
      </c>
      <c r="C519" s="1" t="s">
        <v>1206</v>
      </c>
      <c r="D519" t="str">
        <f t="shared" si="17"/>
        <v>elytra-664</v>
      </c>
      <c r="E519" t="str">
        <f t="shared" si="16"/>
        <v>ROD-SF-elytra-664</v>
      </c>
      <c r="F519" s="10" t="s">
        <v>26</v>
      </c>
      <c r="G519" s="39" t="s">
        <v>1331</v>
      </c>
    </row>
    <row r="520" spans="1:7" ht="15.75">
      <c r="A520" s="1">
        <v>519</v>
      </c>
      <c r="B520" s="3" t="s">
        <v>1804</v>
      </c>
      <c r="C520" s="1" t="s">
        <v>1206</v>
      </c>
      <c r="D520" t="str">
        <f t="shared" si="17"/>
        <v>elytra-665</v>
      </c>
      <c r="E520" t="str">
        <f t="shared" si="16"/>
        <v>ROD-SF-elytra-665</v>
      </c>
      <c r="F520" s="10" t="s">
        <v>26</v>
      </c>
      <c r="G520" s="39" t="s">
        <v>1331</v>
      </c>
    </row>
    <row r="521" spans="1:7" ht="15.75">
      <c r="A521" s="1">
        <v>520</v>
      </c>
      <c r="B521" s="3" t="s">
        <v>1805</v>
      </c>
      <c r="C521" s="1" t="s">
        <v>1206</v>
      </c>
      <c r="D521" t="str">
        <f t="shared" si="17"/>
        <v>elytra-666</v>
      </c>
      <c r="E521" t="str">
        <f t="shared" si="16"/>
        <v>ROD-SF-elytra-666</v>
      </c>
      <c r="F521" s="10" t="s">
        <v>26</v>
      </c>
      <c r="G521" s="39" t="s">
        <v>1331</v>
      </c>
    </row>
    <row r="522" spans="1:7" ht="15.75">
      <c r="A522" s="1">
        <v>521</v>
      </c>
      <c r="B522" s="3" t="s">
        <v>1806</v>
      </c>
      <c r="C522" s="1" t="s">
        <v>1206</v>
      </c>
      <c r="D522" t="str">
        <f t="shared" si="17"/>
        <v>elytra-667</v>
      </c>
      <c r="E522" t="str">
        <f t="shared" si="16"/>
        <v>ROD-SF-elytra-667</v>
      </c>
      <c r="F522" s="10" t="s">
        <v>26</v>
      </c>
      <c r="G522" s="39" t="s">
        <v>1331</v>
      </c>
    </row>
    <row r="523" spans="1:7" ht="15.75">
      <c r="A523" s="1">
        <v>522</v>
      </c>
      <c r="B523" s="3" t="s">
        <v>1807</v>
      </c>
      <c r="C523" s="1" t="s">
        <v>1206</v>
      </c>
      <c r="D523" t="str">
        <f t="shared" si="17"/>
        <v>elytra-668</v>
      </c>
      <c r="E523" t="str">
        <f t="shared" si="16"/>
        <v>ROD-SF-elytra-668</v>
      </c>
      <c r="F523" s="10" t="s">
        <v>26</v>
      </c>
      <c r="G523" s="39" t="s">
        <v>1331</v>
      </c>
    </row>
    <row r="524" spans="1:7" ht="15.75">
      <c r="A524" s="1">
        <v>523</v>
      </c>
      <c r="B524" s="3" t="s">
        <v>1808</v>
      </c>
      <c r="C524" s="1" t="s">
        <v>1206</v>
      </c>
      <c r="D524" t="str">
        <f t="shared" si="17"/>
        <v>elytra-669</v>
      </c>
      <c r="E524" t="str">
        <f t="shared" si="16"/>
        <v>ROD-SF-elytra-669</v>
      </c>
      <c r="F524" s="10" t="s">
        <v>26</v>
      </c>
      <c r="G524" s="39" t="s">
        <v>1331</v>
      </c>
    </row>
    <row r="525" spans="1:7" ht="15.75">
      <c r="A525" s="1">
        <v>524</v>
      </c>
      <c r="B525" s="3" t="s">
        <v>1809</v>
      </c>
      <c r="C525" s="1" t="s">
        <v>1206</v>
      </c>
      <c r="D525" t="str">
        <f t="shared" si="17"/>
        <v>elytra-670</v>
      </c>
      <c r="E525" t="str">
        <f t="shared" si="16"/>
        <v>ROD-SF-elytra-670</v>
      </c>
      <c r="F525" s="10" t="s">
        <v>26</v>
      </c>
      <c r="G525" s="39" t="s">
        <v>1331</v>
      </c>
    </row>
    <row r="526" spans="1:7" ht="15.75">
      <c r="A526" s="1">
        <v>525</v>
      </c>
      <c r="B526" s="3" t="s">
        <v>1810</v>
      </c>
      <c r="C526" s="1" t="s">
        <v>1206</v>
      </c>
      <c r="D526" t="str">
        <f t="shared" si="17"/>
        <v>elytra-671</v>
      </c>
      <c r="E526" t="str">
        <f t="shared" ref="E526:E590" si="18">C526&amp;D526</f>
        <v>ROD-SF-elytra-671</v>
      </c>
      <c r="F526" s="10" t="s">
        <v>26</v>
      </c>
      <c r="G526" s="39" t="s">
        <v>1331</v>
      </c>
    </row>
    <row r="527" spans="1:7" ht="15.75">
      <c r="A527" s="1">
        <v>526</v>
      </c>
      <c r="B527" s="3" t="s">
        <v>1811</v>
      </c>
      <c r="C527" s="1" t="s">
        <v>1206</v>
      </c>
      <c r="D527" t="str">
        <f t="shared" si="17"/>
        <v>elytra-672</v>
      </c>
      <c r="E527" t="str">
        <f t="shared" si="18"/>
        <v>ROD-SF-elytra-672</v>
      </c>
      <c r="F527" s="10" t="s">
        <v>26</v>
      </c>
      <c r="G527" s="39" t="s">
        <v>1331</v>
      </c>
    </row>
    <row r="528" spans="1:7" ht="15.75">
      <c r="A528" s="1">
        <v>527</v>
      </c>
      <c r="B528" s="3" t="s">
        <v>1812</v>
      </c>
      <c r="C528" s="1" t="s">
        <v>1206</v>
      </c>
      <c r="D528" t="str">
        <f t="shared" si="17"/>
        <v>elytra-673</v>
      </c>
      <c r="E528" t="str">
        <f t="shared" si="18"/>
        <v>ROD-SF-elytra-673</v>
      </c>
      <c r="F528" s="10" t="s">
        <v>26</v>
      </c>
      <c r="G528" s="39" t="s">
        <v>1331</v>
      </c>
    </row>
    <row r="529" spans="1:7" ht="15.75">
      <c r="A529" s="1">
        <v>528</v>
      </c>
      <c r="B529" s="3" t="s">
        <v>1813</v>
      </c>
      <c r="C529" s="1" t="s">
        <v>1206</v>
      </c>
      <c r="D529" t="str">
        <f t="shared" si="17"/>
        <v>elytra-674</v>
      </c>
      <c r="E529" t="str">
        <f t="shared" si="18"/>
        <v>ROD-SF-elytra-674</v>
      </c>
      <c r="F529" s="10" t="s">
        <v>26</v>
      </c>
      <c r="G529" s="39" t="s">
        <v>1331</v>
      </c>
    </row>
    <row r="530" spans="1:7" ht="15.75">
      <c r="A530" s="1">
        <v>529</v>
      </c>
      <c r="B530" s="3" t="s">
        <v>1814</v>
      </c>
      <c r="C530" s="1" t="s">
        <v>1206</v>
      </c>
      <c r="D530" t="str">
        <f t="shared" si="17"/>
        <v>elytra-675</v>
      </c>
      <c r="E530" t="str">
        <f t="shared" si="18"/>
        <v>ROD-SF-elytra-675</v>
      </c>
      <c r="F530" s="10" t="s">
        <v>26</v>
      </c>
      <c r="G530" s="39" t="s">
        <v>1331</v>
      </c>
    </row>
    <row r="531" spans="1:7" ht="15.75">
      <c r="A531" s="1">
        <v>530</v>
      </c>
      <c r="B531" s="3" t="s">
        <v>1815</v>
      </c>
      <c r="C531" s="1" t="s">
        <v>1206</v>
      </c>
      <c r="D531" t="str">
        <f t="shared" si="17"/>
        <v>elytra-676</v>
      </c>
      <c r="E531" t="str">
        <f t="shared" si="18"/>
        <v>ROD-SF-elytra-676</v>
      </c>
      <c r="F531" s="10" t="s">
        <v>26</v>
      </c>
      <c r="G531" s="39" t="s">
        <v>1331</v>
      </c>
    </row>
    <row r="532" spans="1:7" ht="15.75">
      <c r="A532" s="1">
        <v>531</v>
      </c>
      <c r="B532" s="3" t="s">
        <v>1816</v>
      </c>
      <c r="C532" s="1" t="s">
        <v>1206</v>
      </c>
      <c r="D532" t="str">
        <f t="shared" si="17"/>
        <v>elytra-677</v>
      </c>
      <c r="E532" t="str">
        <f t="shared" si="18"/>
        <v>ROD-SF-elytra-677</v>
      </c>
      <c r="F532" s="10" t="s">
        <v>26</v>
      </c>
      <c r="G532" s="39" t="s">
        <v>1331</v>
      </c>
    </row>
    <row r="533" spans="1:7" ht="15.75">
      <c r="A533" s="1">
        <v>532</v>
      </c>
      <c r="B533" s="3" t="s">
        <v>1817</v>
      </c>
      <c r="C533" s="1" t="s">
        <v>1206</v>
      </c>
      <c r="D533" t="str">
        <f t="shared" si="17"/>
        <v>elytra-678</v>
      </c>
      <c r="E533" t="str">
        <f t="shared" si="18"/>
        <v>ROD-SF-elytra-678</v>
      </c>
      <c r="F533" s="10" t="s">
        <v>26</v>
      </c>
      <c r="G533" s="39" t="s">
        <v>1331</v>
      </c>
    </row>
    <row r="534" spans="1:7" ht="15.75">
      <c r="A534" s="1">
        <v>533</v>
      </c>
      <c r="B534" s="3" t="s">
        <v>1818</v>
      </c>
      <c r="C534" s="1" t="s">
        <v>1206</v>
      </c>
      <c r="D534" t="str">
        <f t="shared" si="17"/>
        <v>elytra-679</v>
      </c>
      <c r="E534" t="str">
        <f t="shared" si="18"/>
        <v>ROD-SF-elytra-679</v>
      </c>
      <c r="F534" s="10" t="s">
        <v>26</v>
      </c>
      <c r="G534" s="39" t="s">
        <v>1331</v>
      </c>
    </row>
    <row r="535" spans="1:7" ht="15.75">
      <c r="A535" s="1">
        <v>534</v>
      </c>
      <c r="B535" s="3" t="s">
        <v>1819</v>
      </c>
      <c r="C535" s="1" t="s">
        <v>1206</v>
      </c>
      <c r="D535" t="str">
        <f t="shared" si="17"/>
        <v>elytra-680</v>
      </c>
      <c r="E535" t="str">
        <f t="shared" si="18"/>
        <v>ROD-SF-elytra-680</v>
      </c>
      <c r="F535" s="10" t="s">
        <v>26</v>
      </c>
      <c r="G535" s="39" t="s">
        <v>1331</v>
      </c>
    </row>
    <row r="536" spans="1:7" ht="15.75">
      <c r="A536" s="1">
        <v>535</v>
      </c>
      <c r="B536" s="3" t="s">
        <v>1820</v>
      </c>
      <c r="C536" s="1" t="s">
        <v>1206</v>
      </c>
      <c r="D536" t="str">
        <f t="shared" si="17"/>
        <v>elytra-681</v>
      </c>
      <c r="E536" t="str">
        <f t="shared" si="18"/>
        <v>ROD-SF-elytra-681</v>
      </c>
      <c r="F536" s="10" t="s">
        <v>26</v>
      </c>
      <c r="G536" s="39" t="s">
        <v>1331</v>
      </c>
    </row>
    <row r="537" spans="1:7" ht="15.75">
      <c r="A537" s="1">
        <v>536</v>
      </c>
      <c r="B537" s="3" t="s">
        <v>1821</v>
      </c>
      <c r="C537" s="1" t="s">
        <v>1206</v>
      </c>
      <c r="D537" t="str">
        <f t="shared" si="17"/>
        <v>elytra-682</v>
      </c>
      <c r="E537" t="str">
        <f t="shared" si="18"/>
        <v>ROD-SF-elytra-682</v>
      </c>
      <c r="F537" s="10" t="s">
        <v>35</v>
      </c>
      <c r="G537" s="39" t="s">
        <v>1331</v>
      </c>
    </row>
    <row r="538" spans="1:7" ht="15.75">
      <c r="A538" s="1">
        <v>537</v>
      </c>
      <c r="B538" s="3" t="s">
        <v>1822</v>
      </c>
      <c r="C538" s="1" t="s">
        <v>1206</v>
      </c>
      <c r="D538" t="str">
        <f t="shared" si="17"/>
        <v>elytra-683</v>
      </c>
      <c r="E538" t="str">
        <f t="shared" si="18"/>
        <v>ROD-SF-elytra-683</v>
      </c>
      <c r="F538" s="10" t="s">
        <v>26</v>
      </c>
      <c r="G538" s="39" t="s">
        <v>1331</v>
      </c>
    </row>
    <row r="539" spans="1:7" ht="15.75">
      <c r="A539" s="1">
        <v>538</v>
      </c>
      <c r="B539" s="3" t="s">
        <v>1823</v>
      </c>
      <c r="C539" s="1" t="s">
        <v>1206</v>
      </c>
      <c r="D539" t="str">
        <f t="shared" si="17"/>
        <v>elytra-684</v>
      </c>
      <c r="E539" t="str">
        <f t="shared" si="18"/>
        <v>ROD-SF-elytra-684</v>
      </c>
      <c r="F539" s="10" t="s">
        <v>26</v>
      </c>
      <c r="G539" s="39" t="s">
        <v>1331</v>
      </c>
    </row>
    <row r="540" spans="1:7" ht="15.75">
      <c r="A540" s="1">
        <v>539</v>
      </c>
      <c r="B540" s="3" t="s">
        <v>1824</v>
      </c>
      <c r="C540" s="1" t="s">
        <v>1206</v>
      </c>
      <c r="D540" t="str">
        <f t="shared" si="17"/>
        <v>elytra-685</v>
      </c>
      <c r="E540" t="str">
        <f t="shared" si="18"/>
        <v>ROD-SF-elytra-685</v>
      </c>
      <c r="F540" s="10" t="s">
        <v>26</v>
      </c>
      <c r="G540" s="39" t="s">
        <v>1331</v>
      </c>
    </row>
    <row r="541" spans="1:7" ht="15.75">
      <c r="A541" s="1">
        <v>540</v>
      </c>
      <c r="B541" s="3" t="s">
        <v>1825</v>
      </c>
      <c r="C541" s="1" t="s">
        <v>1206</v>
      </c>
      <c r="D541" t="str">
        <f t="shared" si="17"/>
        <v>elytra-686</v>
      </c>
      <c r="E541" t="str">
        <f t="shared" si="18"/>
        <v>ROD-SF-elytra-686</v>
      </c>
      <c r="F541" s="10" t="s">
        <v>26</v>
      </c>
      <c r="G541" s="39" t="s">
        <v>1331</v>
      </c>
    </row>
    <row r="542" spans="1:7" ht="15.75">
      <c r="A542" s="1">
        <v>541</v>
      </c>
      <c r="B542" s="3" t="s">
        <v>1826</v>
      </c>
      <c r="C542" s="1" t="s">
        <v>1206</v>
      </c>
      <c r="D542" t="str">
        <f t="shared" si="17"/>
        <v>elytra-687</v>
      </c>
      <c r="E542" t="str">
        <f t="shared" si="18"/>
        <v>ROD-SF-elytra-687</v>
      </c>
      <c r="F542" s="10" t="s">
        <v>26</v>
      </c>
      <c r="G542" s="39" t="s">
        <v>1331</v>
      </c>
    </row>
    <row r="543" spans="1:7" ht="15.75">
      <c r="A543" s="1">
        <v>542</v>
      </c>
      <c r="B543" s="3" t="s">
        <v>1827</v>
      </c>
      <c r="C543" s="1" t="s">
        <v>1206</v>
      </c>
      <c r="D543" t="str">
        <f t="shared" si="17"/>
        <v>elytra-688</v>
      </c>
      <c r="E543" t="str">
        <f t="shared" si="18"/>
        <v>ROD-SF-elytra-688</v>
      </c>
      <c r="F543" s="10" t="s">
        <v>26</v>
      </c>
      <c r="G543" s="39" t="s">
        <v>1331</v>
      </c>
    </row>
    <row r="544" spans="1:7" ht="15.75">
      <c r="A544" s="1">
        <v>543</v>
      </c>
      <c r="B544" s="3" t="s">
        <v>1828</v>
      </c>
      <c r="C544" s="1" t="s">
        <v>1206</v>
      </c>
      <c r="D544" t="str">
        <f t="shared" si="17"/>
        <v>elytra-689</v>
      </c>
      <c r="E544" t="str">
        <f t="shared" si="18"/>
        <v>ROD-SF-elytra-689</v>
      </c>
      <c r="F544" s="10" t="s">
        <v>26</v>
      </c>
      <c r="G544" s="39" t="s">
        <v>1331</v>
      </c>
    </row>
    <row r="545" spans="1:7" ht="15.75">
      <c r="A545" s="1">
        <v>544</v>
      </c>
      <c r="B545" s="3" t="s">
        <v>1829</v>
      </c>
      <c r="C545" s="1" t="s">
        <v>1206</v>
      </c>
      <c r="D545" t="str">
        <f t="shared" si="17"/>
        <v>elytra-690</v>
      </c>
      <c r="E545" t="str">
        <f t="shared" si="18"/>
        <v>ROD-SF-elytra-690</v>
      </c>
      <c r="F545" s="10" t="s">
        <v>26</v>
      </c>
      <c r="G545" s="39" t="s">
        <v>1331</v>
      </c>
    </row>
    <row r="546" spans="1:7" ht="15.75">
      <c r="A546" s="1">
        <v>545</v>
      </c>
      <c r="B546" s="3" t="s">
        <v>1830</v>
      </c>
      <c r="C546" s="1" t="s">
        <v>1206</v>
      </c>
      <c r="D546" t="str">
        <f t="shared" si="17"/>
        <v>elytra-691</v>
      </c>
      <c r="E546" t="str">
        <f t="shared" si="18"/>
        <v>ROD-SF-elytra-691</v>
      </c>
      <c r="F546" s="10" t="s">
        <v>26</v>
      </c>
      <c r="G546" s="39" t="s">
        <v>1331</v>
      </c>
    </row>
    <row r="547" spans="1:7" ht="15.75">
      <c r="A547" s="1">
        <v>546</v>
      </c>
      <c r="B547" s="3" t="s">
        <v>1831</v>
      </c>
      <c r="C547" s="1" t="s">
        <v>1206</v>
      </c>
      <c r="D547" t="str">
        <f t="shared" si="17"/>
        <v>elytra-692</v>
      </c>
      <c r="E547" t="str">
        <f t="shared" si="18"/>
        <v>ROD-SF-elytra-692</v>
      </c>
      <c r="F547" s="10" t="s">
        <v>26</v>
      </c>
      <c r="G547" s="39" t="s">
        <v>1331</v>
      </c>
    </row>
    <row r="548" spans="1:7" ht="15.75">
      <c r="A548" s="1">
        <v>547</v>
      </c>
      <c r="B548" s="3" t="s">
        <v>1832</v>
      </c>
      <c r="C548" s="1" t="s">
        <v>1206</v>
      </c>
      <c r="D548" t="str">
        <f t="shared" si="17"/>
        <v>elytra-693</v>
      </c>
      <c r="E548" t="str">
        <f t="shared" si="18"/>
        <v>ROD-SF-elytra-693</v>
      </c>
      <c r="F548" s="10" t="s">
        <v>26</v>
      </c>
      <c r="G548" s="39" t="s">
        <v>1331</v>
      </c>
    </row>
    <row r="549" spans="1:7" ht="15.75">
      <c r="A549" s="1">
        <v>548</v>
      </c>
      <c r="B549" s="3" t="s">
        <v>1833</v>
      </c>
      <c r="C549" s="1" t="s">
        <v>1206</v>
      </c>
      <c r="D549" t="str">
        <f t="shared" ref="D549:D589" si="19">RIGHT(B549,10)</f>
        <v>elytra-694</v>
      </c>
      <c r="E549" t="str">
        <f t="shared" si="18"/>
        <v>ROD-SF-elytra-694</v>
      </c>
      <c r="F549" s="10" t="s">
        <v>26</v>
      </c>
      <c r="G549" s="39" t="s">
        <v>1331</v>
      </c>
    </row>
    <row r="550" spans="1:7" ht="15.75">
      <c r="A550" s="1">
        <v>549</v>
      </c>
      <c r="B550" s="3" t="s">
        <v>1834</v>
      </c>
      <c r="C550" s="1" t="s">
        <v>1206</v>
      </c>
      <c r="D550" t="str">
        <f t="shared" si="19"/>
        <v>elytra-695</v>
      </c>
      <c r="E550" t="str">
        <f t="shared" si="18"/>
        <v>ROD-SF-elytra-695</v>
      </c>
      <c r="F550" s="10" t="s">
        <v>26</v>
      </c>
      <c r="G550" s="39" t="s">
        <v>1331</v>
      </c>
    </row>
    <row r="551" spans="1:7" ht="15.75">
      <c r="A551" s="1">
        <v>550</v>
      </c>
      <c r="B551" s="3" t="s">
        <v>1835</v>
      </c>
      <c r="C551" s="1" t="s">
        <v>1206</v>
      </c>
      <c r="D551" t="str">
        <f t="shared" si="19"/>
        <v>elytra-696</v>
      </c>
      <c r="E551" t="str">
        <f t="shared" si="18"/>
        <v>ROD-SF-elytra-696</v>
      </c>
      <c r="F551" s="10" t="s">
        <v>26</v>
      </c>
      <c r="G551" s="39" t="s">
        <v>1331</v>
      </c>
    </row>
    <row r="552" spans="1:7" ht="15.75">
      <c r="A552" s="1">
        <v>551</v>
      </c>
      <c r="B552" s="3" t="s">
        <v>1836</v>
      </c>
      <c r="C552" s="1" t="s">
        <v>1206</v>
      </c>
      <c r="D552" t="str">
        <f t="shared" si="19"/>
        <v>elytra-697</v>
      </c>
      <c r="E552" t="str">
        <f t="shared" si="18"/>
        <v>ROD-SF-elytra-697</v>
      </c>
      <c r="F552" s="10" t="s">
        <v>26</v>
      </c>
      <c r="G552" s="39" t="s">
        <v>1331</v>
      </c>
    </row>
    <row r="553" spans="1:7" ht="15.75">
      <c r="A553" s="1">
        <v>552</v>
      </c>
      <c r="B553" s="3" t="s">
        <v>1837</v>
      </c>
      <c r="C553" s="1" t="s">
        <v>1206</v>
      </c>
      <c r="D553" t="str">
        <f t="shared" si="19"/>
        <v>elytra-698</v>
      </c>
      <c r="E553" t="str">
        <f t="shared" si="18"/>
        <v>ROD-SF-elytra-698</v>
      </c>
      <c r="F553" s="10" t="s">
        <v>26</v>
      </c>
      <c r="G553" s="39" t="s">
        <v>1331</v>
      </c>
    </row>
    <row r="554" spans="1:7" ht="15.75">
      <c r="A554" s="1">
        <v>553</v>
      </c>
      <c r="B554" s="3" t="s">
        <v>1838</v>
      </c>
      <c r="C554" s="1" t="s">
        <v>1206</v>
      </c>
      <c r="D554" t="str">
        <f t="shared" si="19"/>
        <v>elytra-699</v>
      </c>
      <c r="E554" t="str">
        <f t="shared" si="18"/>
        <v>ROD-SF-elytra-699</v>
      </c>
      <c r="F554" s="10" t="s">
        <v>26</v>
      </c>
      <c r="G554" s="39" t="s">
        <v>1331</v>
      </c>
    </row>
    <row r="555" spans="1:7" ht="15.75">
      <c r="A555" s="1">
        <v>554</v>
      </c>
      <c r="B555" s="3" t="s">
        <v>1839</v>
      </c>
      <c r="C555" s="1" t="s">
        <v>1206</v>
      </c>
      <c r="D555" t="str">
        <f t="shared" si="19"/>
        <v>elytra-700</v>
      </c>
      <c r="E555" t="str">
        <f t="shared" si="18"/>
        <v>ROD-SF-elytra-700</v>
      </c>
      <c r="F555" s="10" t="s">
        <v>26</v>
      </c>
      <c r="G555" s="39" t="s">
        <v>1331</v>
      </c>
    </row>
    <row r="556" spans="1:7" ht="15.75">
      <c r="A556" s="1">
        <v>555</v>
      </c>
      <c r="B556" s="3" t="s">
        <v>1840</v>
      </c>
      <c r="C556" s="1" t="s">
        <v>1206</v>
      </c>
      <c r="D556" t="str">
        <f t="shared" si="19"/>
        <v>elytra-701</v>
      </c>
      <c r="E556" t="str">
        <f t="shared" si="18"/>
        <v>ROD-SF-elytra-701</v>
      </c>
      <c r="F556" s="10" t="s">
        <v>26</v>
      </c>
      <c r="G556" s="39" t="s">
        <v>1331</v>
      </c>
    </row>
    <row r="557" spans="1:7" ht="15.75">
      <c r="A557" s="1">
        <v>556</v>
      </c>
      <c r="B557" s="3" t="s">
        <v>1841</v>
      </c>
      <c r="C557" s="1" t="s">
        <v>1206</v>
      </c>
      <c r="D557" t="str">
        <f t="shared" si="19"/>
        <v>elytra-702</v>
      </c>
      <c r="E557" t="str">
        <f t="shared" si="18"/>
        <v>ROD-SF-elytra-702</v>
      </c>
      <c r="F557" s="10" t="s">
        <v>26</v>
      </c>
      <c r="G557" s="39" t="s">
        <v>1331</v>
      </c>
    </row>
    <row r="558" spans="1:7" ht="15.75">
      <c r="A558" s="1">
        <v>557</v>
      </c>
      <c r="B558" s="3" t="s">
        <v>1842</v>
      </c>
      <c r="C558" s="1" t="s">
        <v>1206</v>
      </c>
      <c r="D558" t="str">
        <f t="shared" si="19"/>
        <v>elytra-703</v>
      </c>
      <c r="E558" t="str">
        <f t="shared" si="18"/>
        <v>ROD-SF-elytra-703</v>
      </c>
      <c r="F558" s="10" t="s">
        <v>26</v>
      </c>
      <c r="G558" s="39" t="s">
        <v>1331</v>
      </c>
    </row>
    <row r="559" spans="1:7" ht="15.75">
      <c r="A559" s="1">
        <v>558</v>
      </c>
      <c r="B559" s="3" t="s">
        <v>1843</v>
      </c>
      <c r="C559" s="1" t="s">
        <v>1206</v>
      </c>
      <c r="D559" t="str">
        <f t="shared" si="19"/>
        <v>elytra-704</v>
      </c>
      <c r="E559" t="str">
        <f t="shared" si="18"/>
        <v>ROD-SF-elytra-704</v>
      </c>
      <c r="F559" s="10" t="s">
        <v>26</v>
      </c>
      <c r="G559" s="39" t="s">
        <v>1331</v>
      </c>
    </row>
    <row r="560" spans="1:7" ht="15.75">
      <c r="A560" s="1">
        <v>559</v>
      </c>
      <c r="B560" s="3" t="s">
        <v>1844</v>
      </c>
      <c r="C560" s="1" t="s">
        <v>1206</v>
      </c>
      <c r="D560" t="str">
        <f t="shared" si="19"/>
        <v>elytra-705</v>
      </c>
      <c r="E560" t="str">
        <f t="shared" si="18"/>
        <v>ROD-SF-elytra-705</v>
      </c>
      <c r="F560" s="10" t="s">
        <v>26</v>
      </c>
      <c r="G560" s="39" t="s">
        <v>1331</v>
      </c>
    </row>
    <row r="561" spans="1:7" ht="15.75">
      <c r="A561" s="1">
        <v>560</v>
      </c>
      <c r="B561" s="3" t="s">
        <v>1845</v>
      </c>
      <c r="C561" s="1" t="s">
        <v>1206</v>
      </c>
      <c r="D561" t="str">
        <f t="shared" si="19"/>
        <v>elytra-706</v>
      </c>
      <c r="E561" t="str">
        <f t="shared" si="18"/>
        <v>ROD-SF-elytra-706</v>
      </c>
      <c r="F561" s="10" t="s">
        <v>26</v>
      </c>
      <c r="G561" s="39" t="s">
        <v>1331</v>
      </c>
    </row>
    <row r="562" spans="1:7" ht="15.75">
      <c r="A562" s="1">
        <v>561</v>
      </c>
      <c r="B562" s="3" t="s">
        <v>1846</v>
      </c>
      <c r="C562" s="1" t="s">
        <v>1206</v>
      </c>
      <c r="D562" t="str">
        <f t="shared" si="19"/>
        <v>elytra-707</v>
      </c>
      <c r="E562" t="str">
        <f t="shared" si="18"/>
        <v>ROD-SF-elytra-707</v>
      </c>
      <c r="F562" s="10" t="s">
        <v>26</v>
      </c>
      <c r="G562" s="39" t="s">
        <v>1331</v>
      </c>
    </row>
    <row r="563" spans="1:7" ht="15.75">
      <c r="A563" s="1">
        <v>562</v>
      </c>
      <c r="B563" s="3" t="s">
        <v>1847</v>
      </c>
      <c r="C563" s="1" t="s">
        <v>1206</v>
      </c>
      <c r="D563" t="str">
        <f t="shared" si="19"/>
        <v>elytra-708</v>
      </c>
      <c r="E563" t="str">
        <f t="shared" si="18"/>
        <v>ROD-SF-elytra-708</v>
      </c>
      <c r="F563" s="10" t="s">
        <v>26</v>
      </c>
      <c r="G563" s="39" t="s">
        <v>1331</v>
      </c>
    </row>
    <row r="564" spans="1:7" ht="15.75">
      <c r="A564" s="1">
        <v>563</v>
      </c>
      <c r="B564" s="3" t="s">
        <v>1848</v>
      </c>
      <c r="C564" s="1" t="s">
        <v>1206</v>
      </c>
      <c r="D564" t="str">
        <f t="shared" si="19"/>
        <v>elytra-709</v>
      </c>
      <c r="E564" t="str">
        <f t="shared" si="18"/>
        <v>ROD-SF-elytra-709</v>
      </c>
      <c r="F564" s="10" t="s">
        <v>26</v>
      </c>
      <c r="G564" s="39" t="s">
        <v>1331</v>
      </c>
    </row>
    <row r="565" spans="1:7" ht="15.75">
      <c r="A565" s="1">
        <v>564</v>
      </c>
      <c r="B565" s="3" t="s">
        <v>1849</v>
      </c>
      <c r="C565" s="1" t="s">
        <v>1206</v>
      </c>
      <c r="D565" t="str">
        <f t="shared" si="19"/>
        <v>elytra-710</v>
      </c>
      <c r="E565" t="str">
        <f t="shared" si="18"/>
        <v>ROD-SF-elytra-710</v>
      </c>
      <c r="F565" s="10" t="s">
        <v>26</v>
      </c>
      <c r="G565" s="39" t="s">
        <v>1331</v>
      </c>
    </row>
    <row r="566" spans="1:7" ht="15.75">
      <c r="A566" s="1">
        <v>565</v>
      </c>
      <c r="B566" s="3" t="s">
        <v>1850</v>
      </c>
      <c r="C566" s="1" t="s">
        <v>1206</v>
      </c>
      <c r="D566" t="str">
        <f t="shared" si="19"/>
        <v>elytra-711</v>
      </c>
      <c r="E566" t="str">
        <f t="shared" si="18"/>
        <v>ROD-SF-elytra-711</v>
      </c>
      <c r="F566" s="10" t="s">
        <v>26</v>
      </c>
      <c r="G566" s="39" t="s">
        <v>1331</v>
      </c>
    </row>
    <row r="567" spans="1:7" ht="15.75">
      <c r="A567" s="1">
        <v>566</v>
      </c>
      <c r="B567" s="3" t="s">
        <v>1851</v>
      </c>
      <c r="C567" s="1" t="s">
        <v>1206</v>
      </c>
      <c r="D567" t="str">
        <f t="shared" si="19"/>
        <v>elytra-712</v>
      </c>
      <c r="E567" t="str">
        <f t="shared" si="18"/>
        <v>ROD-SF-elytra-712</v>
      </c>
      <c r="F567" s="10" t="s">
        <v>26</v>
      </c>
      <c r="G567" s="39" t="s">
        <v>1331</v>
      </c>
    </row>
    <row r="568" spans="1:7" ht="15.75">
      <c r="A568" s="1">
        <v>567</v>
      </c>
      <c r="B568" s="3" t="s">
        <v>1852</v>
      </c>
      <c r="C568" s="1" t="s">
        <v>1206</v>
      </c>
      <c r="D568" t="str">
        <f t="shared" si="19"/>
        <v>elytra-713</v>
      </c>
      <c r="E568" t="str">
        <f t="shared" si="18"/>
        <v>ROD-SF-elytra-713</v>
      </c>
      <c r="F568" s="10" t="s">
        <v>26</v>
      </c>
      <c r="G568" s="39" t="s">
        <v>1331</v>
      </c>
    </row>
    <row r="569" spans="1:7" ht="15.75">
      <c r="A569" s="1">
        <v>568</v>
      </c>
      <c r="B569" s="3" t="s">
        <v>1853</v>
      </c>
      <c r="C569" s="1" t="s">
        <v>1206</v>
      </c>
      <c r="D569" t="str">
        <f t="shared" si="19"/>
        <v>elytra-714</v>
      </c>
      <c r="E569" t="str">
        <f t="shared" si="18"/>
        <v>ROD-SF-elytra-714</v>
      </c>
      <c r="F569" s="10" t="s">
        <v>26</v>
      </c>
      <c r="G569" s="39" t="s">
        <v>1331</v>
      </c>
    </row>
    <row r="570" spans="1:7" ht="15.75">
      <c r="A570" s="1">
        <v>569</v>
      </c>
      <c r="B570" s="3" t="s">
        <v>1854</v>
      </c>
      <c r="C570" s="1" t="s">
        <v>1206</v>
      </c>
      <c r="D570" t="str">
        <f t="shared" si="19"/>
        <v>elytra-715</v>
      </c>
      <c r="E570" t="str">
        <f t="shared" si="18"/>
        <v>ROD-SF-elytra-715</v>
      </c>
      <c r="F570" s="10" t="s">
        <v>26</v>
      </c>
      <c r="G570" s="39" t="s">
        <v>1331</v>
      </c>
    </row>
    <row r="571" spans="1:7" ht="15.75">
      <c r="A571" s="1">
        <v>570</v>
      </c>
      <c r="B571" s="3" t="s">
        <v>1855</v>
      </c>
      <c r="C571" s="1" t="s">
        <v>1206</v>
      </c>
      <c r="D571" t="str">
        <f t="shared" si="19"/>
        <v>elytra-716</v>
      </c>
      <c r="E571" t="str">
        <f t="shared" si="18"/>
        <v>ROD-SF-elytra-716</v>
      </c>
      <c r="F571" s="10" t="s">
        <v>26</v>
      </c>
      <c r="G571" s="39" t="s">
        <v>1331</v>
      </c>
    </row>
    <row r="572" spans="1:7" ht="15.75">
      <c r="A572" s="1">
        <v>571</v>
      </c>
      <c r="B572" s="3" t="s">
        <v>1856</v>
      </c>
      <c r="C572" s="1" t="s">
        <v>1206</v>
      </c>
      <c r="D572" t="str">
        <f t="shared" si="19"/>
        <v>elytra-717</v>
      </c>
      <c r="E572" t="str">
        <f t="shared" si="18"/>
        <v>ROD-SF-elytra-717</v>
      </c>
      <c r="F572" s="10" t="s">
        <v>35</v>
      </c>
      <c r="G572" s="39" t="s">
        <v>1331</v>
      </c>
    </row>
    <row r="573" spans="1:7" ht="15.75">
      <c r="A573" s="1">
        <v>572</v>
      </c>
      <c r="B573" s="3" t="s">
        <v>1857</v>
      </c>
      <c r="C573" s="1" t="s">
        <v>1206</v>
      </c>
      <c r="D573" t="str">
        <f t="shared" si="19"/>
        <v>elytra-718</v>
      </c>
      <c r="E573" t="str">
        <f t="shared" si="18"/>
        <v>ROD-SF-elytra-718</v>
      </c>
      <c r="F573" s="10" t="s">
        <v>26</v>
      </c>
      <c r="G573" s="39" t="s">
        <v>1331</v>
      </c>
    </row>
    <row r="574" spans="1:7" ht="15.75">
      <c r="A574" s="1">
        <v>573</v>
      </c>
      <c r="B574" s="3" t="s">
        <v>1858</v>
      </c>
      <c r="C574" s="1" t="s">
        <v>1206</v>
      </c>
      <c r="D574" t="str">
        <f t="shared" si="19"/>
        <v>elytra-719</v>
      </c>
      <c r="E574" t="str">
        <f t="shared" si="18"/>
        <v>ROD-SF-elytra-719</v>
      </c>
      <c r="F574" s="10" t="s">
        <v>35</v>
      </c>
      <c r="G574" s="39" t="s">
        <v>1331</v>
      </c>
    </row>
    <row r="575" spans="1:7" ht="15.75">
      <c r="A575" s="1">
        <v>574</v>
      </c>
      <c r="B575" s="3" t="s">
        <v>1859</v>
      </c>
      <c r="C575" s="1" t="s">
        <v>1206</v>
      </c>
      <c r="D575" t="str">
        <f t="shared" si="19"/>
        <v>elytra-720</v>
      </c>
      <c r="E575" t="str">
        <f t="shared" si="18"/>
        <v>ROD-SF-elytra-720</v>
      </c>
      <c r="F575" s="10" t="s">
        <v>26</v>
      </c>
      <c r="G575" s="39" t="s">
        <v>1331</v>
      </c>
    </row>
    <row r="576" spans="1:7" ht="15.75">
      <c r="A576" s="1">
        <v>575</v>
      </c>
      <c r="B576" s="3" t="s">
        <v>1860</v>
      </c>
      <c r="C576" s="1" t="s">
        <v>1206</v>
      </c>
      <c r="D576" t="str">
        <f t="shared" si="19"/>
        <v>elytra-721</v>
      </c>
      <c r="E576" t="str">
        <f t="shared" si="18"/>
        <v>ROD-SF-elytra-721</v>
      </c>
      <c r="F576" s="10" t="s">
        <v>35</v>
      </c>
      <c r="G576" s="39" t="s">
        <v>1331</v>
      </c>
    </row>
    <row r="577" spans="1:7" ht="15.75">
      <c r="A577" s="1">
        <v>576</v>
      </c>
      <c r="B577" s="3" t="s">
        <v>1861</v>
      </c>
      <c r="C577" s="1" t="s">
        <v>1206</v>
      </c>
      <c r="D577" t="str">
        <f t="shared" si="19"/>
        <v>elytra-722</v>
      </c>
      <c r="E577" t="str">
        <f t="shared" si="18"/>
        <v>ROD-SF-elytra-722</v>
      </c>
      <c r="F577" s="10" t="s">
        <v>26</v>
      </c>
      <c r="G577" s="39" t="s">
        <v>1331</v>
      </c>
    </row>
    <row r="578" spans="1:7" ht="15.75">
      <c r="A578" s="1">
        <v>577</v>
      </c>
      <c r="B578" s="3" t="s">
        <v>1862</v>
      </c>
      <c r="C578" s="1" t="s">
        <v>1206</v>
      </c>
      <c r="D578" t="str">
        <f t="shared" si="19"/>
        <v>elytra-723</v>
      </c>
      <c r="E578" t="str">
        <f t="shared" si="18"/>
        <v>ROD-SF-elytra-723</v>
      </c>
      <c r="F578" s="10" t="s">
        <v>26</v>
      </c>
      <c r="G578" s="39" t="s">
        <v>1331</v>
      </c>
    </row>
    <row r="579" spans="1:7" ht="15.75">
      <c r="A579" s="1">
        <v>578</v>
      </c>
      <c r="B579" s="3" t="s">
        <v>1863</v>
      </c>
      <c r="C579" s="1" t="s">
        <v>1206</v>
      </c>
      <c r="D579" t="str">
        <f t="shared" si="19"/>
        <v>elytra-724</v>
      </c>
      <c r="E579" t="str">
        <f t="shared" si="18"/>
        <v>ROD-SF-elytra-724</v>
      </c>
      <c r="F579" s="10" t="s">
        <v>26</v>
      </c>
      <c r="G579" s="39" t="s">
        <v>1331</v>
      </c>
    </row>
    <row r="580" spans="1:7" ht="15.75">
      <c r="A580" s="1">
        <v>579</v>
      </c>
      <c r="B580" s="3" t="s">
        <v>1864</v>
      </c>
      <c r="C580" s="1" t="s">
        <v>1206</v>
      </c>
      <c r="D580" t="str">
        <f t="shared" si="19"/>
        <v>elytra-725</v>
      </c>
      <c r="E580" t="str">
        <f t="shared" si="18"/>
        <v>ROD-SF-elytra-725</v>
      </c>
      <c r="F580" s="10" t="s">
        <v>26</v>
      </c>
      <c r="G580" s="39" t="s">
        <v>1331</v>
      </c>
    </row>
    <row r="581" spans="1:7" ht="15.75">
      <c r="A581" s="1">
        <v>580</v>
      </c>
      <c r="B581" s="3" t="s">
        <v>1865</v>
      </c>
      <c r="C581" s="1" t="s">
        <v>1206</v>
      </c>
      <c r="D581" t="str">
        <f t="shared" si="19"/>
        <v>elytra-726</v>
      </c>
      <c r="E581" t="str">
        <f t="shared" si="18"/>
        <v>ROD-SF-elytra-726</v>
      </c>
      <c r="F581" s="10" t="s">
        <v>26</v>
      </c>
      <c r="G581" s="39" t="s">
        <v>1331</v>
      </c>
    </row>
    <row r="582" spans="1:7" ht="15.75">
      <c r="A582" s="1">
        <v>581</v>
      </c>
      <c r="B582" s="3" t="s">
        <v>1866</v>
      </c>
      <c r="C582" s="1" t="s">
        <v>1206</v>
      </c>
      <c r="D582" t="str">
        <f t="shared" si="19"/>
        <v>elytra-727</v>
      </c>
      <c r="E582" t="str">
        <f t="shared" si="18"/>
        <v>ROD-SF-elytra-727</v>
      </c>
      <c r="F582" s="10" t="s">
        <v>26</v>
      </c>
      <c r="G582" s="39" t="s">
        <v>1331</v>
      </c>
    </row>
    <row r="583" spans="1:7" ht="15.75">
      <c r="A583" s="1">
        <v>582</v>
      </c>
      <c r="B583" s="3" t="s">
        <v>1867</v>
      </c>
      <c r="C583" s="1" t="s">
        <v>1206</v>
      </c>
      <c r="D583" t="str">
        <f t="shared" si="19"/>
        <v>elytra-728</v>
      </c>
      <c r="E583" t="str">
        <f t="shared" si="18"/>
        <v>ROD-SF-elytra-728</v>
      </c>
      <c r="F583" s="10" t="s">
        <v>26</v>
      </c>
      <c r="G583" s="39" t="s">
        <v>1331</v>
      </c>
    </row>
    <row r="584" spans="1:7" ht="15.75">
      <c r="A584" s="1">
        <v>583</v>
      </c>
      <c r="B584" s="3" t="s">
        <v>1868</v>
      </c>
      <c r="C584" s="1" t="s">
        <v>1206</v>
      </c>
      <c r="D584" t="str">
        <f t="shared" si="19"/>
        <v>elytra-729</v>
      </c>
      <c r="E584" t="str">
        <f t="shared" si="18"/>
        <v>ROD-SF-elytra-729</v>
      </c>
      <c r="F584" s="10" t="s">
        <v>35</v>
      </c>
      <c r="G584" s="39" t="s">
        <v>1331</v>
      </c>
    </row>
    <row r="585" spans="1:7" ht="15.75">
      <c r="A585" s="1">
        <v>584</v>
      </c>
      <c r="B585" s="3" t="s">
        <v>1869</v>
      </c>
      <c r="C585" s="1" t="s">
        <v>1206</v>
      </c>
      <c r="D585" t="str">
        <f t="shared" si="19"/>
        <v>elytra-730</v>
      </c>
      <c r="E585" t="str">
        <f t="shared" si="18"/>
        <v>ROD-SF-elytra-730</v>
      </c>
      <c r="F585" s="10" t="s">
        <v>26</v>
      </c>
      <c r="G585" s="39" t="s">
        <v>1331</v>
      </c>
    </row>
    <row r="586" spans="1:7" ht="15.75">
      <c r="A586" s="1">
        <v>585</v>
      </c>
      <c r="B586" s="3" t="s">
        <v>1870</v>
      </c>
      <c r="C586" s="1" t="s">
        <v>1206</v>
      </c>
      <c r="D586" t="str">
        <f t="shared" si="19"/>
        <v>elytra-731</v>
      </c>
      <c r="E586" t="str">
        <f t="shared" si="18"/>
        <v>ROD-SF-elytra-731</v>
      </c>
      <c r="F586" s="10" t="s">
        <v>26</v>
      </c>
      <c r="G586" s="39" t="s">
        <v>1331</v>
      </c>
    </row>
    <row r="587" spans="1:7" ht="15.75">
      <c r="A587" s="1">
        <v>586</v>
      </c>
      <c r="B587" s="3" t="s">
        <v>1871</v>
      </c>
      <c r="C587" s="1" t="s">
        <v>1206</v>
      </c>
      <c r="D587" t="str">
        <f t="shared" si="19"/>
        <v>elytra-732</v>
      </c>
      <c r="E587" t="str">
        <f t="shared" si="18"/>
        <v>ROD-SF-elytra-732</v>
      </c>
      <c r="F587" s="10" t="s">
        <v>26</v>
      </c>
      <c r="G587" s="39" t="s">
        <v>1331</v>
      </c>
    </row>
    <row r="588" spans="1:7" ht="15.75">
      <c r="A588" s="1">
        <v>587</v>
      </c>
      <c r="B588" s="3" t="s">
        <v>1872</v>
      </c>
      <c r="C588" s="1" t="s">
        <v>1206</v>
      </c>
      <c r="D588" t="str">
        <f t="shared" si="19"/>
        <v>elytra-733</v>
      </c>
      <c r="E588" t="str">
        <f t="shared" si="18"/>
        <v>ROD-SF-elytra-733</v>
      </c>
      <c r="F588" s="10" t="s">
        <v>35</v>
      </c>
      <c r="G588" s="39" t="s">
        <v>1331</v>
      </c>
    </row>
    <row r="589" spans="1:7" ht="15.75">
      <c r="A589" s="1">
        <v>588</v>
      </c>
      <c r="B589" s="3" t="s">
        <v>1873</v>
      </c>
      <c r="C589" s="1" t="s">
        <v>1206</v>
      </c>
      <c r="D589" t="str">
        <f t="shared" si="19"/>
        <v>elytra-734</v>
      </c>
      <c r="E589" t="str">
        <f t="shared" si="18"/>
        <v>ROD-SF-elytra-734</v>
      </c>
      <c r="F589" s="10" t="s">
        <v>26</v>
      </c>
      <c r="G589" s="39" t="s">
        <v>1331</v>
      </c>
    </row>
    <row r="590" spans="1:7" ht="15.75">
      <c r="A590" s="1">
        <v>589</v>
      </c>
      <c r="B590" s="3" t="s">
        <v>1874</v>
      </c>
      <c r="C590" s="1" t="s">
        <v>1206</v>
      </c>
      <c r="D590" t="s">
        <v>1875</v>
      </c>
      <c r="E590" t="str">
        <f t="shared" si="18"/>
        <v>ROD-SF-pron-60</v>
      </c>
      <c r="F590" s="10" t="s">
        <v>65</v>
      </c>
    </row>
    <row r="591" spans="1:7" ht="15.75">
      <c r="A591" s="1">
        <v>590</v>
      </c>
      <c r="B591" s="3" t="s">
        <v>1876</v>
      </c>
      <c r="C591" s="1" t="s">
        <v>1206</v>
      </c>
      <c r="D591" t="s">
        <v>1877</v>
      </c>
      <c r="E591" t="str">
        <f t="shared" ref="E591:E654" si="20">C591&amp;D591</f>
        <v>ROD-SF-pron-61</v>
      </c>
      <c r="F591" s="10" t="s">
        <v>65</v>
      </c>
    </row>
    <row r="592" spans="1:7" ht="15.75">
      <c r="A592" s="1">
        <v>591</v>
      </c>
      <c r="B592" s="3" t="s">
        <v>1878</v>
      </c>
      <c r="C592" s="1" t="s">
        <v>1206</v>
      </c>
      <c r="D592" t="s">
        <v>1879</v>
      </c>
      <c r="E592" t="str">
        <f t="shared" si="20"/>
        <v>ROD-SF-pron-62</v>
      </c>
      <c r="F592" s="10" t="s">
        <v>65</v>
      </c>
    </row>
    <row r="593" spans="1:7" ht="15.75">
      <c r="A593" s="1">
        <v>592</v>
      </c>
      <c r="B593" s="3" t="s">
        <v>1880</v>
      </c>
      <c r="C593" s="1" t="s">
        <v>1206</v>
      </c>
      <c r="D593" t="s">
        <v>1881</v>
      </c>
      <c r="E593" t="str">
        <f t="shared" si="20"/>
        <v>ROD-SF-pron-63</v>
      </c>
      <c r="F593" s="10" t="s">
        <v>26</v>
      </c>
    </row>
    <row r="594" spans="1:7" ht="15.75">
      <c r="A594" s="1">
        <v>593</v>
      </c>
      <c r="B594" s="3" t="s">
        <v>1882</v>
      </c>
      <c r="C594" s="1" t="s">
        <v>1206</v>
      </c>
      <c r="D594" t="s">
        <v>1883</v>
      </c>
      <c r="E594" t="str">
        <f t="shared" si="20"/>
        <v>ROD-SF-pron-64</v>
      </c>
      <c r="F594" s="10" t="s">
        <v>65</v>
      </c>
    </row>
    <row r="595" spans="1:7" ht="15.75">
      <c r="A595" s="1">
        <v>594</v>
      </c>
      <c r="B595" s="3" t="s">
        <v>1884</v>
      </c>
      <c r="C595" s="1" t="s">
        <v>1206</v>
      </c>
      <c r="D595" t="s">
        <v>1885</v>
      </c>
      <c r="E595" t="str">
        <f t="shared" si="20"/>
        <v>ROD-SF-pron-65</v>
      </c>
      <c r="F595" s="10" t="s">
        <v>65</v>
      </c>
    </row>
    <row r="596" spans="1:7" ht="15.75">
      <c r="A596" s="1">
        <v>595</v>
      </c>
      <c r="B596" s="3" t="s">
        <v>1886</v>
      </c>
      <c r="C596" s="1" t="s">
        <v>1206</v>
      </c>
      <c r="D596" t="s">
        <v>1887</v>
      </c>
      <c r="E596" t="str">
        <f t="shared" si="20"/>
        <v>ROD-SF-pron-66</v>
      </c>
      <c r="F596" s="10" t="s">
        <v>65</v>
      </c>
    </row>
    <row r="597" spans="1:7" ht="15.75">
      <c r="A597" s="1">
        <v>596</v>
      </c>
      <c r="B597" s="3" t="s">
        <v>1888</v>
      </c>
      <c r="C597" s="1" t="s">
        <v>1206</v>
      </c>
      <c r="D597" t="s">
        <v>1889</v>
      </c>
      <c r="E597" t="str">
        <f t="shared" si="20"/>
        <v>ROD-SF-pron-67</v>
      </c>
      <c r="F597" s="10" t="s">
        <v>35</v>
      </c>
    </row>
    <row r="598" spans="1:7" ht="15.75">
      <c r="A598" s="1">
        <v>597</v>
      </c>
      <c r="B598" s="3" t="s">
        <v>1890</v>
      </c>
      <c r="C598" s="1" t="s">
        <v>1206</v>
      </c>
      <c r="D598" t="s">
        <v>1891</v>
      </c>
      <c r="E598" t="str">
        <f t="shared" si="20"/>
        <v>ROD-SF-pron-68</v>
      </c>
      <c r="F598" s="10" t="s">
        <v>65</v>
      </c>
    </row>
    <row r="599" spans="1:7" ht="15.75">
      <c r="A599" s="1">
        <v>598</v>
      </c>
      <c r="B599" s="3" t="s">
        <v>1892</v>
      </c>
      <c r="C599" s="1" t="s">
        <v>1206</v>
      </c>
      <c r="D599" t="s">
        <v>1893</v>
      </c>
      <c r="E599" t="str">
        <f t="shared" si="20"/>
        <v>ROD-SF-pron-69</v>
      </c>
      <c r="F599" s="10" t="s">
        <v>65</v>
      </c>
    </row>
    <row r="600" spans="1:7" ht="15.75">
      <c r="A600" s="1">
        <v>599</v>
      </c>
      <c r="B600" s="3" t="s">
        <v>1894</v>
      </c>
      <c r="C600" s="1" t="s">
        <v>1206</v>
      </c>
      <c r="D600" t="s">
        <v>1895</v>
      </c>
      <c r="E600" t="str">
        <f t="shared" si="20"/>
        <v>ROD-SF-pron-70</v>
      </c>
      <c r="F600" s="10" t="s">
        <v>35</v>
      </c>
      <c r="G600" s="10" t="s">
        <v>1896</v>
      </c>
    </row>
    <row r="601" spans="1:7" ht="15.75">
      <c r="A601" s="1">
        <v>600</v>
      </c>
      <c r="B601" s="3" t="s">
        <v>1897</v>
      </c>
      <c r="C601" s="1" t="s">
        <v>1206</v>
      </c>
      <c r="D601" t="s">
        <v>1898</v>
      </c>
      <c r="E601" t="str">
        <f t="shared" si="20"/>
        <v>ROD-SF-pron-71</v>
      </c>
      <c r="F601" s="10" t="s">
        <v>65</v>
      </c>
    </row>
    <row r="602" spans="1:7" ht="15.75">
      <c r="A602" s="1">
        <v>601</v>
      </c>
      <c r="B602" s="3" t="s">
        <v>1899</v>
      </c>
      <c r="C602" s="1" t="s">
        <v>1206</v>
      </c>
      <c r="D602" t="s">
        <v>1900</v>
      </c>
      <c r="E602" t="str">
        <f t="shared" si="20"/>
        <v>ROD-SF-pron-72</v>
      </c>
      <c r="F602" s="10" t="s">
        <v>65</v>
      </c>
    </row>
    <row r="603" spans="1:7" ht="15.75">
      <c r="A603" s="1">
        <v>602</v>
      </c>
      <c r="B603" s="3" t="s">
        <v>1901</v>
      </c>
      <c r="C603" s="1" t="s">
        <v>1206</v>
      </c>
      <c r="D603" t="s">
        <v>1902</v>
      </c>
      <c r="E603" t="str">
        <f t="shared" si="20"/>
        <v>ROD-SF-pron-73</v>
      </c>
      <c r="F603" s="10" t="s">
        <v>65</v>
      </c>
      <c r="G603" s="10" t="s">
        <v>1903</v>
      </c>
    </row>
    <row r="604" spans="1:7" ht="15.75">
      <c r="A604" s="1">
        <v>603</v>
      </c>
      <c r="B604" s="3" t="s">
        <v>1904</v>
      </c>
      <c r="C604" s="1" t="s">
        <v>1206</v>
      </c>
      <c r="D604" t="s">
        <v>1905</v>
      </c>
      <c r="E604" t="str">
        <f t="shared" si="20"/>
        <v>ROD-SF-pron-74</v>
      </c>
      <c r="F604" s="10" t="s">
        <v>65</v>
      </c>
    </row>
    <row r="605" spans="1:7" ht="15.75">
      <c r="A605" s="1">
        <v>604</v>
      </c>
      <c r="B605" s="3" t="s">
        <v>1906</v>
      </c>
      <c r="C605" s="1" t="s">
        <v>1206</v>
      </c>
      <c r="D605" t="s">
        <v>1907</v>
      </c>
      <c r="E605" t="str">
        <f t="shared" si="20"/>
        <v>ROD-SF-pron-75</v>
      </c>
      <c r="F605" s="10" t="s">
        <v>65</v>
      </c>
    </row>
    <row r="606" spans="1:7" ht="15.75">
      <c r="A606" s="1">
        <v>605</v>
      </c>
      <c r="B606" s="3" t="s">
        <v>1908</v>
      </c>
      <c r="C606" s="1" t="s">
        <v>1206</v>
      </c>
      <c r="D606" t="s">
        <v>1909</v>
      </c>
      <c r="E606" t="str">
        <f t="shared" si="20"/>
        <v>ROD-SF-pron-76</v>
      </c>
      <c r="F606" s="10" t="s">
        <v>65</v>
      </c>
    </row>
    <row r="607" spans="1:7" ht="15.75">
      <c r="A607" s="1">
        <v>606</v>
      </c>
      <c r="B607" s="3" t="s">
        <v>1910</v>
      </c>
      <c r="C607" s="1" t="s">
        <v>1206</v>
      </c>
      <c r="D607" t="s">
        <v>1911</v>
      </c>
      <c r="E607" t="str">
        <f t="shared" si="20"/>
        <v>ROD-SF-pron-77</v>
      </c>
      <c r="F607" s="10" t="s">
        <v>65</v>
      </c>
    </row>
    <row r="608" spans="1:7" ht="15.75">
      <c r="A608" s="1">
        <v>607</v>
      </c>
      <c r="B608" s="3" t="s">
        <v>1912</v>
      </c>
      <c r="C608" s="1" t="s">
        <v>1206</v>
      </c>
      <c r="D608" t="s">
        <v>1913</v>
      </c>
      <c r="E608" t="str">
        <f t="shared" si="20"/>
        <v>ROD-SF-pron-78</v>
      </c>
      <c r="F608" s="10" t="s">
        <v>35</v>
      </c>
      <c r="G608" s="10" t="s">
        <v>1914</v>
      </c>
    </row>
    <row r="609" spans="1:7" ht="15.75">
      <c r="A609" s="1">
        <v>608</v>
      </c>
      <c r="B609" s="3" t="s">
        <v>1915</v>
      </c>
      <c r="C609" s="1" t="s">
        <v>1206</v>
      </c>
      <c r="D609" t="s">
        <v>1916</v>
      </c>
      <c r="E609" t="str">
        <f t="shared" si="20"/>
        <v>ROD-SF-pron-79</v>
      </c>
      <c r="F609" s="10" t="s">
        <v>35</v>
      </c>
    </row>
    <row r="610" spans="1:7" ht="15.75">
      <c r="A610" s="1">
        <v>609</v>
      </c>
      <c r="B610" s="3" t="s">
        <v>1917</v>
      </c>
      <c r="C610" s="1" t="s">
        <v>1206</v>
      </c>
      <c r="D610" t="s">
        <v>1918</v>
      </c>
      <c r="E610" t="str">
        <f t="shared" si="20"/>
        <v>ROD-SF-pron-80</v>
      </c>
      <c r="F610" s="10" t="s">
        <v>65</v>
      </c>
    </row>
    <row r="611" spans="1:7" ht="15.75">
      <c r="A611" s="1">
        <v>610</v>
      </c>
      <c r="B611" s="3" t="s">
        <v>1919</v>
      </c>
      <c r="C611" s="1" t="s">
        <v>1206</v>
      </c>
      <c r="D611" t="s">
        <v>1920</v>
      </c>
      <c r="E611" t="str">
        <f t="shared" si="20"/>
        <v>ROD-SF-pron-81</v>
      </c>
      <c r="F611" s="10" t="s">
        <v>65</v>
      </c>
    </row>
    <row r="612" spans="1:7" ht="15.75">
      <c r="A612" s="1">
        <v>611</v>
      </c>
      <c r="B612" s="3" t="s">
        <v>1921</v>
      </c>
      <c r="C612" s="1" t="s">
        <v>1206</v>
      </c>
      <c r="D612" t="s">
        <v>1922</v>
      </c>
      <c r="E612" t="str">
        <f t="shared" si="20"/>
        <v>ROD-SF-pron-82</v>
      </c>
      <c r="F612" s="10" t="s">
        <v>65</v>
      </c>
    </row>
    <row r="613" spans="1:7" ht="15.75">
      <c r="A613" s="1">
        <v>612</v>
      </c>
      <c r="B613" s="3" t="s">
        <v>1923</v>
      </c>
      <c r="C613" s="1" t="s">
        <v>1206</v>
      </c>
      <c r="D613" t="s">
        <v>1924</v>
      </c>
      <c r="E613" t="str">
        <f t="shared" si="20"/>
        <v>ROD-SF-pron-83</v>
      </c>
      <c r="F613" s="10" t="s">
        <v>65</v>
      </c>
      <c r="G613" s="10" t="s">
        <v>1914</v>
      </c>
    </row>
    <row r="614" spans="1:7" ht="15.75">
      <c r="A614" s="1">
        <v>613</v>
      </c>
      <c r="B614" s="3" t="s">
        <v>1925</v>
      </c>
      <c r="C614" s="1" t="s">
        <v>1206</v>
      </c>
      <c r="D614" t="s">
        <v>1926</v>
      </c>
      <c r="E614" t="str">
        <f t="shared" si="20"/>
        <v>ROD-SF-pron-84</v>
      </c>
      <c r="F614" s="10" t="s">
        <v>26</v>
      </c>
      <c r="G614" s="10" t="s">
        <v>1927</v>
      </c>
    </row>
    <row r="615" spans="1:7" ht="15.75">
      <c r="A615" s="1">
        <v>614</v>
      </c>
      <c r="B615" s="3" t="s">
        <v>1928</v>
      </c>
      <c r="C615" s="1" t="s">
        <v>1206</v>
      </c>
      <c r="D615" t="s">
        <v>1929</v>
      </c>
      <c r="E615" t="str">
        <f t="shared" si="20"/>
        <v>ROD-SF-pron-85</v>
      </c>
      <c r="F615" s="10" t="s">
        <v>26</v>
      </c>
      <c r="G615" s="10" t="s">
        <v>1927</v>
      </c>
    </row>
    <row r="616" spans="1:7" ht="15.75">
      <c r="A616" s="1">
        <v>615</v>
      </c>
      <c r="B616" s="3" t="s">
        <v>1930</v>
      </c>
      <c r="C616" s="1" t="s">
        <v>1206</v>
      </c>
      <c r="D616" t="s">
        <v>1931</v>
      </c>
      <c r="E616" t="str">
        <f t="shared" si="20"/>
        <v>ROD-SF-pron-86</v>
      </c>
      <c r="F616" s="10" t="s">
        <v>35</v>
      </c>
    </row>
    <row r="617" spans="1:7" ht="15.75">
      <c r="A617" s="1">
        <v>616</v>
      </c>
      <c r="B617" s="3" t="s">
        <v>1932</v>
      </c>
      <c r="C617" s="1" t="s">
        <v>1206</v>
      </c>
      <c r="D617" t="s">
        <v>1933</v>
      </c>
      <c r="E617" t="str">
        <f t="shared" si="20"/>
        <v>ROD-SF-pron-87</v>
      </c>
      <c r="F617" s="10" t="s">
        <v>65</v>
      </c>
    </row>
    <row r="618" spans="1:7" ht="15.75">
      <c r="A618" s="1">
        <v>617</v>
      </c>
      <c r="B618" s="3" t="s">
        <v>1934</v>
      </c>
      <c r="C618" s="1" t="s">
        <v>1206</v>
      </c>
      <c r="D618" t="s">
        <v>1935</v>
      </c>
      <c r="E618" t="str">
        <f t="shared" si="20"/>
        <v>ROD-SF-pron-88</v>
      </c>
      <c r="F618" s="10" t="s">
        <v>65</v>
      </c>
    </row>
    <row r="619" spans="1:7" ht="15.75">
      <c r="A619" s="1">
        <v>618</v>
      </c>
      <c r="B619" s="3" t="s">
        <v>1936</v>
      </c>
      <c r="C619" s="1" t="s">
        <v>1206</v>
      </c>
      <c r="D619" t="s">
        <v>1937</v>
      </c>
      <c r="E619" t="str">
        <f t="shared" si="20"/>
        <v>ROD-SF-pron-89</v>
      </c>
      <c r="F619" s="10" t="s">
        <v>65</v>
      </c>
    </row>
    <row r="620" spans="1:7" ht="15.75">
      <c r="A620" s="1">
        <v>619</v>
      </c>
      <c r="B620" s="3" t="s">
        <v>1938</v>
      </c>
      <c r="C620" s="1" t="s">
        <v>1206</v>
      </c>
      <c r="D620" t="s">
        <v>1939</v>
      </c>
      <c r="E620" t="str">
        <f t="shared" si="20"/>
        <v>ROD-SF-pron-90</v>
      </c>
      <c r="F620" s="10" t="s">
        <v>65</v>
      </c>
    </row>
    <row r="621" spans="1:7" ht="15.75">
      <c r="A621" s="1">
        <v>620</v>
      </c>
      <c r="B621" s="3" t="s">
        <v>1940</v>
      </c>
      <c r="C621" s="1" t="s">
        <v>1206</v>
      </c>
      <c r="D621" t="s">
        <v>1941</v>
      </c>
      <c r="E621" t="str">
        <f t="shared" si="20"/>
        <v>ROD-SF-pron-91</v>
      </c>
      <c r="F621" s="10" t="s">
        <v>65</v>
      </c>
    </row>
    <row r="622" spans="1:7" ht="15.75">
      <c r="A622" s="1">
        <v>621</v>
      </c>
      <c r="B622" s="3" t="s">
        <v>1942</v>
      </c>
      <c r="C622" s="1" t="s">
        <v>1206</v>
      </c>
      <c r="D622" t="s">
        <v>1943</v>
      </c>
      <c r="E622" t="str">
        <f t="shared" si="20"/>
        <v>ROD-SF-pron-92</v>
      </c>
      <c r="F622" s="10" t="s">
        <v>65</v>
      </c>
    </row>
    <row r="623" spans="1:7" ht="15.75">
      <c r="A623" s="1">
        <v>622</v>
      </c>
      <c r="B623" s="3" t="s">
        <v>1944</v>
      </c>
      <c r="C623" s="1" t="s">
        <v>1206</v>
      </c>
      <c r="D623" t="s">
        <v>1945</v>
      </c>
      <c r="E623" t="str">
        <f t="shared" si="20"/>
        <v>ROD-SF-pron-93</v>
      </c>
      <c r="F623" s="10" t="s">
        <v>65</v>
      </c>
    </row>
    <row r="624" spans="1:7" ht="15.75">
      <c r="A624" s="1">
        <v>623</v>
      </c>
      <c r="B624" s="3" t="s">
        <v>1946</v>
      </c>
      <c r="C624" s="1" t="s">
        <v>1206</v>
      </c>
      <c r="D624" t="s">
        <v>1947</v>
      </c>
      <c r="E624" t="str">
        <f t="shared" si="20"/>
        <v>ROD-SF-pron-94</v>
      </c>
      <c r="F624" s="10" t="s">
        <v>65</v>
      </c>
    </row>
    <row r="625" spans="1:7" ht="15.75">
      <c r="A625" s="1">
        <v>624</v>
      </c>
      <c r="B625" s="3" t="s">
        <v>1948</v>
      </c>
      <c r="C625" s="1" t="s">
        <v>1206</v>
      </c>
      <c r="D625" t="s">
        <v>1949</v>
      </c>
      <c r="E625" t="str">
        <f t="shared" si="20"/>
        <v>ROD-SF-pron-95</v>
      </c>
      <c r="F625" s="10" t="s">
        <v>65</v>
      </c>
    </row>
    <row r="626" spans="1:7" ht="15.75">
      <c r="A626" s="1">
        <v>625</v>
      </c>
      <c r="B626" s="3" t="s">
        <v>1950</v>
      </c>
      <c r="C626" s="1" t="s">
        <v>1206</v>
      </c>
      <c r="D626" t="s">
        <v>1951</v>
      </c>
      <c r="E626" t="str">
        <f t="shared" si="20"/>
        <v>ROD-SF-pron-96</v>
      </c>
      <c r="F626" s="10" t="s">
        <v>35</v>
      </c>
    </row>
    <row r="627" spans="1:7" ht="15.75">
      <c r="A627" s="1">
        <v>626</v>
      </c>
      <c r="B627" s="3" t="s">
        <v>1952</v>
      </c>
      <c r="C627" s="1" t="s">
        <v>1206</v>
      </c>
      <c r="D627" t="s">
        <v>1953</v>
      </c>
      <c r="E627" t="str">
        <f t="shared" si="20"/>
        <v>ROD-SF-pron-97</v>
      </c>
      <c r="F627" s="10" t="s">
        <v>35</v>
      </c>
    </row>
    <row r="628" spans="1:7" ht="15.75">
      <c r="A628" s="1">
        <v>627</v>
      </c>
      <c r="B628" s="3" t="s">
        <v>1954</v>
      </c>
      <c r="C628" s="1" t="s">
        <v>1206</v>
      </c>
      <c r="D628" t="s">
        <v>1955</v>
      </c>
      <c r="E628" t="str">
        <f t="shared" si="20"/>
        <v>ROD-SF-pron-98</v>
      </c>
      <c r="F628" s="10" t="s">
        <v>35</v>
      </c>
    </row>
    <row r="629" spans="1:7" ht="15.75">
      <c r="A629" s="1">
        <v>628</v>
      </c>
      <c r="B629" s="3" t="s">
        <v>1956</v>
      </c>
      <c r="C629" s="1" t="s">
        <v>1206</v>
      </c>
      <c r="D629" t="s">
        <v>1957</v>
      </c>
      <c r="E629" t="str">
        <f t="shared" si="20"/>
        <v>ROD-SF-pron-99</v>
      </c>
      <c r="F629" s="10" t="s">
        <v>65</v>
      </c>
    </row>
    <row r="630" spans="1:7" ht="15.75">
      <c r="A630" s="1">
        <v>629</v>
      </c>
      <c r="B630" s="3" t="s">
        <v>1958</v>
      </c>
      <c r="C630" s="1" t="s">
        <v>1206</v>
      </c>
      <c r="D630" t="s">
        <v>1959</v>
      </c>
      <c r="E630" t="str">
        <f t="shared" si="20"/>
        <v>ROD-SF-pron-100</v>
      </c>
      <c r="F630" s="10" t="s">
        <v>26</v>
      </c>
    </row>
    <row r="631" spans="1:7" ht="15.75">
      <c r="A631" s="1">
        <v>630</v>
      </c>
      <c r="B631" s="3" t="s">
        <v>1960</v>
      </c>
      <c r="C631" s="1" t="s">
        <v>1206</v>
      </c>
      <c r="D631" t="s">
        <v>1961</v>
      </c>
      <c r="E631" t="str">
        <f t="shared" si="20"/>
        <v>ROD-SF-pron-101</v>
      </c>
      <c r="F631" s="10" t="s">
        <v>35</v>
      </c>
    </row>
    <row r="632" spans="1:7" ht="15.75">
      <c r="A632" s="1">
        <v>631</v>
      </c>
      <c r="B632" s="3" t="s">
        <v>1962</v>
      </c>
      <c r="C632" s="1" t="s">
        <v>1206</v>
      </c>
      <c r="D632" t="s">
        <v>1963</v>
      </c>
      <c r="E632" t="str">
        <f t="shared" si="20"/>
        <v>ROD-SF-pron-102</v>
      </c>
      <c r="F632" s="10" t="s">
        <v>35</v>
      </c>
    </row>
    <row r="633" spans="1:7" ht="15.75">
      <c r="A633" s="1">
        <v>632</v>
      </c>
      <c r="B633" s="3" t="s">
        <v>1964</v>
      </c>
      <c r="C633" s="1" t="s">
        <v>1206</v>
      </c>
      <c r="D633" t="s">
        <v>1965</v>
      </c>
      <c r="E633" t="str">
        <f t="shared" si="20"/>
        <v>ROD-SF-pron-103</v>
      </c>
      <c r="F633" s="10" t="s">
        <v>35</v>
      </c>
      <c r="G633" s="10" t="s">
        <v>1966</v>
      </c>
    </row>
    <row r="634" spans="1:7" ht="15.75">
      <c r="A634" s="1">
        <v>633</v>
      </c>
      <c r="B634" s="3" t="s">
        <v>1967</v>
      </c>
      <c r="C634" s="1" t="s">
        <v>1206</v>
      </c>
      <c r="D634" t="s">
        <v>1968</v>
      </c>
      <c r="E634" t="str">
        <f t="shared" si="20"/>
        <v>ROD-SF-pron-104</v>
      </c>
      <c r="F634" s="10" t="s">
        <v>35</v>
      </c>
    </row>
    <row r="635" spans="1:7" ht="15.75">
      <c r="A635" s="1">
        <v>634</v>
      </c>
      <c r="B635" s="3" t="s">
        <v>1969</v>
      </c>
      <c r="C635" s="1" t="s">
        <v>1206</v>
      </c>
      <c r="D635" t="s">
        <v>1970</v>
      </c>
      <c r="E635" t="str">
        <f t="shared" si="20"/>
        <v>ROD-SF-pron-105</v>
      </c>
      <c r="F635" s="10" t="s">
        <v>26</v>
      </c>
    </row>
    <row r="636" spans="1:7" ht="15.75">
      <c r="A636" s="1">
        <v>635</v>
      </c>
      <c r="B636" s="3" t="s">
        <v>1971</v>
      </c>
      <c r="C636" s="1" t="s">
        <v>1206</v>
      </c>
      <c r="D636" t="s">
        <v>1972</v>
      </c>
      <c r="E636" t="str">
        <f t="shared" si="20"/>
        <v>ROD-SF-pron-106</v>
      </c>
      <c r="F636" s="10" t="s">
        <v>35</v>
      </c>
      <c r="G636" s="10" t="s">
        <v>1973</v>
      </c>
    </row>
    <row r="637" spans="1:7" ht="15.75">
      <c r="A637" s="1">
        <v>636</v>
      </c>
      <c r="B637" s="3" t="s">
        <v>1974</v>
      </c>
      <c r="C637" s="1" t="s">
        <v>1206</v>
      </c>
      <c r="D637" t="s">
        <v>1975</v>
      </c>
      <c r="E637" t="str">
        <f t="shared" si="20"/>
        <v>ROD-SF-pron-107</v>
      </c>
      <c r="F637" s="10" t="s">
        <v>35</v>
      </c>
    </row>
    <row r="638" spans="1:7" ht="15.75">
      <c r="A638" s="1">
        <v>637</v>
      </c>
      <c r="B638" s="3" t="s">
        <v>1976</v>
      </c>
      <c r="C638" s="1" t="s">
        <v>1206</v>
      </c>
      <c r="D638" t="s">
        <v>1977</v>
      </c>
      <c r="E638" t="str">
        <f t="shared" si="20"/>
        <v>ROD-SF-pron-108</v>
      </c>
      <c r="F638" s="10" t="s">
        <v>35</v>
      </c>
    </row>
    <row r="639" spans="1:7" ht="15.75">
      <c r="A639" s="1">
        <v>638</v>
      </c>
      <c r="B639" s="3" t="s">
        <v>1978</v>
      </c>
      <c r="C639" s="1" t="s">
        <v>1206</v>
      </c>
      <c r="D639" t="s">
        <v>1979</v>
      </c>
      <c r="E639" t="str">
        <f t="shared" si="20"/>
        <v>ROD-SF-pron-109</v>
      </c>
      <c r="F639" s="10" t="s">
        <v>26</v>
      </c>
    </row>
    <row r="640" spans="1:7" ht="15.75">
      <c r="A640" s="1">
        <v>639</v>
      </c>
      <c r="B640" s="3" t="s">
        <v>1980</v>
      </c>
      <c r="C640" s="1" t="s">
        <v>1206</v>
      </c>
      <c r="D640" t="s">
        <v>1981</v>
      </c>
      <c r="E640" t="str">
        <f t="shared" si="20"/>
        <v>ROD-SF-pron-110</v>
      </c>
      <c r="F640" s="10" t="s">
        <v>35</v>
      </c>
    </row>
    <row r="641" spans="1:6" ht="15.75">
      <c r="A641" s="1">
        <v>640</v>
      </c>
      <c r="B641" s="3" t="s">
        <v>1982</v>
      </c>
      <c r="C641" s="1" t="s">
        <v>1206</v>
      </c>
      <c r="D641" t="s">
        <v>1983</v>
      </c>
      <c r="E641" t="str">
        <f t="shared" si="20"/>
        <v>ROD-SF-pron-111</v>
      </c>
      <c r="F641" s="10" t="s">
        <v>35</v>
      </c>
    </row>
    <row r="642" spans="1:6" ht="15.75">
      <c r="A642" s="1">
        <v>641</v>
      </c>
      <c r="B642" s="3" t="s">
        <v>1984</v>
      </c>
      <c r="C642" s="1" t="s">
        <v>1206</v>
      </c>
      <c r="D642" t="s">
        <v>1985</v>
      </c>
      <c r="E642" t="str">
        <f t="shared" si="20"/>
        <v>ROD-SF-pron-112</v>
      </c>
      <c r="F642" s="10" t="s">
        <v>35</v>
      </c>
    </row>
    <row r="643" spans="1:6" ht="15.75">
      <c r="A643" s="1">
        <v>642</v>
      </c>
      <c r="B643" s="3" t="s">
        <v>1986</v>
      </c>
      <c r="C643" s="1" t="s">
        <v>1206</v>
      </c>
      <c r="D643" t="s">
        <v>1987</v>
      </c>
      <c r="E643" t="str">
        <f t="shared" si="20"/>
        <v>ROD-SF-pron-113</v>
      </c>
      <c r="F643" s="10" t="s">
        <v>35</v>
      </c>
    </row>
    <row r="644" spans="1:6" ht="15.75">
      <c r="A644" s="1">
        <v>643</v>
      </c>
      <c r="B644" s="3" t="s">
        <v>1988</v>
      </c>
      <c r="C644" s="1" t="s">
        <v>1206</v>
      </c>
      <c r="D644" t="s">
        <v>1989</v>
      </c>
      <c r="E644" t="str">
        <f t="shared" si="20"/>
        <v>ROD-SF-pron-114</v>
      </c>
      <c r="F644" s="10" t="s">
        <v>35</v>
      </c>
    </row>
    <row r="645" spans="1:6" ht="15.75">
      <c r="A645" s="1">
        <v>644</v>
      </c>
      <c r="B645" s="3" t="s">
        <v>1990</v>
      </c>
      <c r="C645" s="1" t="s">
        <v>1206</v>
      </c>
      <c r="D645" t="s">
        <v>1991</v>
      </c>
      <c r="E645" t="str">
        <f t="shared" si="20"/>
        <v>ROD-SF-pron-115</v>
      </c>
      <c r="F645" s="10" t="s">
        <v>35</v>
      </c>
    </row>
    <row r="646" spans="1:6" ht="15.75">
      <c r="A646" s="1">
        <v>645</v>
      </c>
      <c r="B646" s="3" t="s">
        <v>1992</v>
      </c>
      <c r="C646" s="1" t="s">
        <v>1206</v>
      </c>
      <c r="D646" t="s">
        <v>1993</v>
      </c>
      <c r="E646" t="str">
        <f t="shared" si="20"/>
        <v>ROD-SF-pron-116</v>
      </c>
      <c r="F646" s="10" t="s">
        <v>35</v>
      </c>
    </row>
    <row r="647" spans="1:6" ht="15.75">
      <c r="A647" s="1">
        <v>646</v>
      </c>
      <c r="B647" s="3" t="s">
        <v>1994</v>
      </c>
      <c r="C647" s="1" t="s">
        <v>1206</v>
      </c>
      <c r="D647" t="s">
        <v>1995</v>
      </c>
      <c r="E647" t="str">
        <f t="shared" si="20"/>
        <v>ROD-SF-pron-117</v>
      </c>
      <c r="F647" s="10" t="s">
        <v>35</v>
      </c>
    </row>
    <row r="648" spans="1:6" ht="15.75">
      <c r="A648" s="1">
        <v>647</v>
      </c>
      <c r="B648" s="3" t="s">
        <v>1996</v>
      </c>
      <c r="C648" s="1" t="s">
        <v>1206</v>
      </c>
      <c r="D648" t="s">
        <v>1997</v>
      </c>
      <c r="E648" t="str">
        <f t="shared" si="20"/>
        <v>ROD-SF-pron-118</v>
      </c>
      <c r="F648" s="10" t="s">
        <v>35</v>
      </c>
    </row>
    <row r="649" spans="1:6" ht="15.75">
      <c r="A649" s="1">
        <v>648</v>
      </c>
      <c r="B649" s="3" t="s">
        <v>1998</v>
      </c>
      <c r="C649" s="1" t="s">
        <v>1206</v>
      </c>
      <c r="D649" t="s">
        <v>1999</v>
      </c>
      <c r="E649" t="str">
        <f t="shared" si="20"/>
        <v>ROD-SF-pron-119</v>
      </c>
      <c r="F649" s="10" t="s">
        <v>35</v>
      </c>
    </row>
    <row r="650" spans="1:6" ht="15.75">
      <c r="A650" s="1">
        <v>649</v>
      </c>
      <c r="B650" s="3" t="s">
        <v>2000</v>
      </c>
      <c r="C650" s="1" t="s">
        <v>1206</v>
      </c>
      <c r="D650" t="s">
        <v>2001</v>
      </c>
      <c r="E650" t="str">
        <f t="shared" si="20"/>
        <v>ROD-SF-pron-120</v>
      </c>
      <c r="F650" s="10" t="s">
        <v>35</v>
      </c>
    </row>
    <row r="651" spans="1:6" ht="15.75">
      <c r="A651" s="1">
        <v>650</v>
      </c>
      <c r="B651" s="3" t="s">
        <v>2002</v>
      </c>
      <c r="C651" s="1" t="s">
        <v>1206</v>
      </c>
      <c r="D651" t="s">
        <v>2003</v>
      </c>
      <c r="E651" t="str">
        <f t="shared" si="20"/>
        <v>ROD-SF-pron-121</v>
      </c>
      <c r="F651" s="10" t="s">
        <v>65</v>
      </c>
    </row>
    <row r="652" spans="1:6" ht="15.75">
      <c r="A652" s="1">
        <v>651</v>
      </c>
      <c r="B652" s="3" t="s">
        <v>2004</v>
      </c>
      <c r="C652" s="1" t="s">
        <v>1206</v>
      </c>
      <c r="D652" t="s">
        <v>2005</v>
      </c>
      <c r="E652" t="str">
        <f t="shared" si="20"/>
        <v>ROD-SF-pron-122</v>
      </c>
      <c r="F652" s="10" t="s">
        <v>2006</v>
      </c>
    </row>
    <row r="653" spans="1:6" ht="15.75">
      <c r="A653" s="1">
        <v>652</v>
      </c>
      <c r="B653" s="3" t="s">
        <v>2007</v>
      </c>
      <c r="C653" s="1" t="s">
        <v>1206</v>
      </c>
      <c r="D653" t="s">
        <v>2008</v>
      </c>
      <c r="E653" t="str">
        <f t="shared" si="20"/>
        <v>ROD-SF-pron-123</v>
      </c>
      <c r="F653" s="10" t="s">
        <v>35</v>
      </c>
    </row>
    <row r="654" spans="1:6" ht="15.75">
      <c r="A654" s="1">
        <v>653</v>
      </c>
      <c r="B654" s="3" t="s">
        <v>2009</v>
      </c>
      <c r="C654" s="1" t="s">
        <v>1206</v>
      </c>
      <c r="D654" t="s">
        <v>2010</v>
      </c>
      <c r="E654" t="str">
        <f t="shared" si="20"/>
        <v>ROD-SF-pron-124</v>
      </c>
      <c r="F654" s="10" t="s">
        <v>26</v>
      </c>
    </row>
    <row r="655" spans="1:6" ht="15.75">
      <c r="A655" s="1">
        <v>654</v>
      </c>
      <c r="B655" s="3" t="s">
        <v>2011</v>
      </c>
      <c r="C655" s="1" t="s">
        <v>1206</v>
      </c>
      <c r="D655" t="s">
        <v>2012</v>
      </c>
      <c r="E655" t="str">
        <f t="shared" ref="E655:E718" si="21">C655&amp;D655</f>
        <v>ROD-SF-pron-125</v>
      </c>
      <c r="F655" s="10" t="s">
        <v>26</v>
      </c>
    </row>
    <row r="656" spans="1:6" ht="15.75">
      <c r="A656" s="1">
        <v>655</v>
      </c>
      <c r="B656" s="3" t="s">
        <v>2013</v>
      </c>
      <c r="C656" s="1" t="s">
        <v>1206</v>
      </c>
      <c r="D656" t="s">
        <v>2014</v>
      </c>
      <c r="E656" t="str">
        <f t="shared" si="21"/>
        <v>ROD-SF-pron-126</v>
      </c>
      <c r="F656" s="10" t="s">
        <v>26</v>
      </c>
    </row>
    <row r="657" spans="1:7" ht="15.75">
      <c r="A657" s="1">
        <v>656</v>
      </c>
      <c r="B657" s="3" t="s">
        <v>2015</v>
      </c>
      <c r="C657" s="1" t="s">
        <v>1206</v>
      </c>
      <c r="D657" t="s">
        <v>2016</v>
      </c>
      <c r="E657" t="str">
        <f t="shared" si="21"/>
        <v>ROD-SF-pron-127</v>
      </c>
      <c r="F657" s="10" t="s">
        <v>35</v>
      </c>
    </row>
    <row r="658" spans="1:7" ht="15.75">
      <c r="A658" s="1">
        <v>657</v>
      </c>
      <c r="B658" s="3" t="s">
        <v>2017</v>
      </c>
      <c r="C658" s="1" t="s">
        <v>1206</v>
      </c>
      <c r="D658" t="s">
        <v>2018</v>
      </c>
      <c r="E658" t="str">
        <f t="shared" si="21"/>
        <v>ROD-SF-pron-128</v>
      </c>
      <c r="F658" s="10" t="s">
        <v>26</v>
      </c>
    </row>
    <row r="659" spans="1:7" ht="15.75">
      <c r="A659" s="1">
        <v>658</v>
      </c>
      <c r="B659" s="3" t="s">
        <v>2019</v>
      </c>
      <c r="C659" s="1" t="s">
        <v>1206</v>
      </c>
      <c r="D659" t="s">
        <v>2020</v>
      </c>
      <c r="E659" t="str">
        <f t="shared" si="21"/>
        <v>ROD-SF-pron-129</v>
      </c>
      <c r="F659" s="10" t="s">
        <v>65</v>
      </c>
    </row>
    <row r="660" spans="1:7" ht="15.75">
      <c r="A660" s="1">
        <v>659</v>
      </c>
      <c r="B660" s="3" t="s">
        <v>2021</v>
      </c>
      <c r="C660" s="1" t="s">
        <v>1206</v>
      </c>
      <c r="D660" t="s">
        <v>2022</v>
      </c>
      <c r="E660" t="str">
        <f t="shared" si="21"/>
        <v>ROD-SF-pron-130</v>
      </c>
      <c r="F660" s="10" t="s">
        <v>65</v>
      </c>
    </row>
    <row r="661" spans="1:7" ht="15.75">
      <c r="A661" s="1">
        <v>660</v>
      </c>
      <c r="B661" s="3" t="s">
        <v>2023</v>
      </c>
      <c r="C661" s="1" t="s">
        <v>1206</v>
      </c>
      <c r="D661" t="s">
        <v>2024</v>
      </c>
      <c r="E661" t="str">
        <f t="shared" si="21"/>
        <v>ROD-SF-pron-131</v>
      </c>
      <c r="F661" s="10" t="s">
        <v>65</v>
      </c>
    </row>
    <row r="662" spans="1:7" ht="15.75">
      <c r="A662" s="1">
        <v>661</v>
      </c>
      <c r="B662" s="3" t="s">
        <v>2025</v>
      </c>
      <c r="C662" s="1" t="s">
        <v>1206</v>
      </c>
      <c r="D662" t="s">
        <v>2026</v>
      </c>
      <c r="E662" t="str">
        <f t="shared" si="21"/>
        <v>ROD-SF-pron-132</v>
      </c>
      <c r="F662" s="10" t="s">
        <v>65</v>
      </c>
    </row>
    <row r="663" spans="1:7" ht="15.75">
      <c r="A663" s="1">
        <v>662</v>
      </c>
      <c r="B663" s="3" t="s">
        <v>2027</v>
      </c>
      <c r="C663" s="1" t="s">
        <v>1206</v>
      </c>
      <c r="D663" t="s">
        <v>2028</v>
      </c>
      <c r="E663" t="str">
        <f t="shared" si="21"/>
        <v>ROD-SF-pron-133</v>
      </c>
      <c r="F663" s="10" t="s">
        <v>65</v>
      </c>
    </row>
    <row r="664" spans="1:7" ht="15.75">
      <c r="A664" s="1">
        <v>663</v>
      </c>
      <c r="B664" s="3" t="s">
        <v>2029</v>
      </c>
      <c r="C664" s="1" t="s">
        <v>1206</v>
      </c>
      <c r="D664" t="s">
        <v>2030</v>
      </c>
      <c r="E664" t="str">
        <f t="shared" si="21"/>
        <v>ROD-SF-pron-134</v>
      </c>
      <c r="F664" s="10" t="s">
        <v>65</v>
      </c>
    </row>
    <row r="665" spans="1:7" ht="15.75">
      <c r="A665" s="1">
        <v>664</v>
      </c>
      <c r="B665" s="3" t="s">
        <v>2031</v>
      </c>
      <c r="C665" s="1" t="s">
        <v>1206</v>
      </c>
      <c r="D665" t="s">
        <v>2032</v>
      </c>
      <c r="E665" t="str">
        <f t="shared" si="21"/>
        <v>ROD-SF-pron-135</v>
      </c>
      <c r="F665" s="10" t="s">
        <v>65</v>
      </c>
    </row>
    <row r="666" spans="1:7" ht="15.75">
      <c r="A666" s="1">
        <v>665</v>
      </c>
      <c r="B666" s="3" t="s">
        <v>2033</v>
      </c>
      <c r="C666" s="1" t="s">
        <v>1206</v>
      </c>
      <c r="D666" t="s">
        <v>2034</v>
      </c>
      <c r="E666" t="str">
        <f t="shared" si="21"/>
        <v>ROD-SF-pron-136</v>
      </c>
      <c r="F666" s="10" t="s">
        <v>65</v>
      </c>
    </row>
    <row r="667" spans="1:7" ht="15.75">
      <c r="A667" s="1">
        <v>666</v>
      </c>
      <c r="B667" s="3" t="s">
        <v>2035</v>
      </c>
      <c r="C667" s="1" t="s">
        <v>1206</v>
      </c>
      <c r="D667" t="s">
        <v>2036</v>
      </c>
      <c r="E667" t="str">
        <f t="shared" si="21"/>
        <v>ROD-SF-pron-137</v>
      </c>
      <c r="F667" s="10" t="s">
        <v>65</v>
      </c>
    </row>
    <row r="668" spans="1:7" ht="15.75">
      <c r="A668" s="1">
        <v>667</v>
      </c>
      <c r="B668" s="3" t="s">
        <v>2037</v>
      </c>
      <c r="C668" s="1" t="s">
        <v>1206</v>
      </c>
      <c r="D668" t="s">
        <v>2038</v>
      </c>
      <c r="E668" t="str">
        <f t="shared" si="21"/>
        <v>ROD-SF-pron-138</v>
      </c>
      <c r="F668" s="10" t="s">
        <v>65</v>
      </c>
    </row>
    <row r="669" spans="1:7" ht="15.75">
      <c r="A669" s="1">
        <v>668</v>
      </c>
      <c r="B669" s="3" t="s">
        <v>2039</v>
      </c>
      <c r="C669" s="1" t="s">
        <v>1206</v>
      </c>
      <c r="D669" t="s">
        <v>2040</v>
      </c>
      <c r="E669" t="str">
        <f t="shared" si="21"/>
        <v>ROD-SF-pron-139</v>
      </c>
      <c r="F669" s="10" t="s">
        <v>65</v>
      </c>
    </row>
    <row r="670" spans="1:7" ht="15.75">
      <c r="A670" s="1">
        <v>669</v>
      </c>
      <c r="B670" s="3" t="s">
        <v>2041</v>
      </c>
      <c r="C670" s="1" t="s">
        <v>1206</v>
      </c>
      <c r="D670" t="s">
        <v>2042</v>
      </c>
      <c r="E670" t="str">
        <f t="shared" si="21"/>
        <v>ROD-SF-pron-140</v>
      </c>
      <c r="F670" s="10" t="s">
        <v>65</v>
      </c>
    </row>
    <row r="671" spans="1:7" ht="15.75">
      <c r="A671" s="1">
        <v>670</v>
      </c>
      <c r="B671" s="3" t="s">
        <v>2043</v>
      </c>
      <c r="C671" s="1" t="s">
        <v>1206</v>
      </c>
      <c r="D671" t="s">
        <v>2044</v>
      </c>
      <c r="E671" t="str">
        <f t="shared" si="21"/>
        <v>ROD-SF-pron-141</v>
      </c>
      <c r="F671" s="10" t="s">
        <v>14</v>
      </c>
    </row>
    <row r="672" spans="1:7" ht="15.75">
      <c r="A672" s="1">
        <v>671</v>
      </c>
      <c r="B672" s="3" t="s">
        <v>2045</v>
      </c>
      <c r="C672" s="1" t="s">
        <v>1206</v>
      </c>
      <c r="D672" t="s">
        <v>2046</v>
      </c>
      <c r="E672" t="str">
        <f t="shared" si="21"/>
        <v>ROD-SF-pron-142</v>
      </c>
      <c r="F672" s="10" t="s">
        <v>65</v>
      </c>
      <c r="G672" s="10" t="s">
        <v>2047</v>
      </c>
    </row>
    <row r="673" spans="1:7" ht="15.75">
      <c r="A673" s="1">
        <v>672</v>
      </c>
      <c r="B673" s="3" t="s">
        <v>2048</v>
      </c>
      <c r="C673" s="1" t="s">
        <v>1206</v>
      </c>
      <c r="D673" t="s">
        <v>2049</v>
      </c>
      <c r="E673" t="str">
        <f t="shared" si="21"/>
        <v>ROD-SF-pron-143</v>
      </c>
      <c r="F673" s="10" t="s">
        <v>35</v>
      </c>
    </row>
    <row r="674" spans="1:7" ht="15.75">
      <c r="A674" s="1">
        <v>673</v>
      </c>
      <c r="B674" s="3" t="s">
        <v>2050</v>
      </c>
      <c r="C674" s="1" t="s">
        <v>1206</v>
      </c>
      <c r="D674" t="s">
        <v>2051</v>
      </c>
      <c r="E674" t="str">
        <f t="shared" si="21"/>
        <v>ROD-SF-pron-144</v>
      </c>
      <c r="F674" s="10" t="s">
        <v>30</v>
      </c>
    </row>
    <row r="675" spans="1:7" ht="15.75">
      <c r="A675" s="1">
        <v>674</v>
      </c>
      <c r="B675" s="3" t="s">
        <v>2052</v>
      </c>
      <c r="C675" s="1" t="s">
        <v>1206</v>
      </c>
      <c r="D675" t="s">
        <v>2053</v>
      </c>
      <c r="E675" t="str">
        <f t="shared" si="21"/>
        <v>ROD-SF-pron-145</v>
      </c>
      <c r="F675" s="10" t="s">
        <v>30</v>
      </c>
    </row>
    <row r="676" spans="1:7" ht="15.75">
      <c r="A676" s="1">
        <v>675</v>
      </c>
      <c r="B676" s="3" t="s">
        <v>2054</v>
      </c>
      <c r="C676" s="1" t="s">
        <v>1206</v>
      </c>
      <c r="D676" t="s">
        <v>2055</v>
      </c>
      <c r="E676" t="str">
        <f t="shared" si="21"/>
        <v>ROD-SF-pron-146</v>
      </c>
      <c r="F676" s="10" t="s">
        <v>9</v>
      </c>
    </row>
    <row r="677" spans="1:7" ht="15.75">
      <c r="A677" s="1">
        <v>676</v>
      </c>
      <c r="B677" s="3" t="s">
        <v>2056</v>
      </c>
      <c r="C677" s="1" t="s">
        <v>1206</v>
      </c>
      <c r="D677" t="s">
        <v>2057</v>
      </c>
      <c r="E677" t="str">
        <f t="shared" si="21"/>
        <v>ROD-SF-pron-147</v>
      </c>
      <c r="F677" s="10" t="s">
        <v>14</v>
      </c>
    </row>
    <row r="678" spans="1:7" ht="15.75">
      <c r="A678" s="1">
        <v>677</v>
      </c>
      <c r="B678" s="3" t="s">
        <v>2058</v>
      </c>
      <c r="C678" s="1" t="s">
        <v>1206</v>
      </c>
      <c r="D678" t="s">
        <v>2059</v>
      </c>
      <c r="E678" t="str">
        <f t="shared" si="21"/>
        <v>ROD-SF-pron-148</v>
      </c>
      <c r="F678" s="10" t="s">
        <v>30</v>
      </c>
    </row>
    <row r="679" spans="1:7" ht="15.75">
      <c r="A679" s="1">
        <v>678</v>
      </c>
      <c r="B679" s="3" t="s">
        <v>2060</v>
      </c>
      <c r="C679" s="1" t="s">
        <v>1206</v>
      </c>
      <c r="D679" t="s">
        <v>2061</v>
      </c>
      <c r="E679" t="str">
        <f t="shared" si="21"/>
        <v>ROD-SF-pron-149</v>
      </c>
      <c r="F679" s="10" t="s">
        <v>30</v>
      </c>
    </row>
    <row r="680" spans="1:7" ht="15.75">
      <c r="A680" s="1">
        <v>679</v>
      </c>
      <c r="B680" s="3" t="s">
        <v>2062</v>
      </c>
      <c r="C680" s="1" t="s">
        <v>1206</v>
      </c>
      <c r="D680" t="s">
        <v>2063</v>
      </c>
      <c r="E680" t="str">
        <f t="shared" si="21"/>
        <v>ROD-SF-pron-150</v>
      </c>
      <c r="F680" s="10" t="s">
        <v>30</v>
      </c>
    </row>
    <row r="681" spans="1:7" ht="15.75">
      <c r="A681" s="1">
        <v>680</v>
      </c>
      <c r="B681" s="3" t="s">
        <v>2064</v>
      </c>
      <c r="C681" s="1" t="s">
        <v>1206</v>
      </c>
      <c r="D681" t="s">
        <v>2065</v>
      </c>
      <c r="E681" t="str">
        <f t="shared" si="21"/>
        <v>ROD-SF-pron-151</v>
      </c>
      <c r="G681" s="10" t="s">
        <v>2066</v>
      </c>
    </row>
    <row r="682" spans="1:7" ht="15.75">
      <c r="A682" s="1">
        <v>681</v>
      </c>
      <c r="B682" s="3" t="s">
        <v>2067</v>
      </c>
      <c r="C682" s="1" t="s">
        <v>1206</v>
      </c>
      <c r="D682" t="s">
        <v>2068</v>
      </c>
      <c r="E682" t="str">
        <f t="shared" si="21"/>
        <v>ROD-SF-pron-152</v>
      </c>
      <c r="F682" s="10" t="s">
        <v>65</v>
      </c>
    </row>
    <row r="683" spans="1:7" ht="15.75">
      <c r="A683" s="1">
        <v>682</v>
      </c>
      <c r="B683" s="3" t="s">
        <v>2069</v>
      </c>
      <c r="C683" s="1" t="s">
        <v>1206</v>
      </c>
      <c r="D683" t="s">
        <v>2070</v>
      </c>
      <c r="E683" t="str">
        <f t="shared" si="21"/>
        <v>ROD-SF-pron-153</v>
      </c>
      <c r="F683" s="10" t="s">
        <v>65</v>
      </c>
    </row>
    <row r="684" spans="1:7" ht="15.75">
      <c r="A684" s="1">
        <v>683</v>
      </c>
      <c r="B684" s="3" t="s">
        <v>2071</v>
      </c>
      <c r="C684" s="1" t="s">
        <v>1206</v>
      </c>
      <c r="D684" t="s">
        <v>2072</v>
      </c>
      <c r="E684" t="str">
        <f t="shared" si="21"/>
        <v>ROD-SF-pron-154</v>
      </c>
      <c r="F684" s="10" t="s">
        <v>65</v>
      </c>
    </row>
    <row r="685" spans="1:7" ht="15.75">
      <c r="A685" s="1">
        <v>684</v>
      </c>
      <c r="B685" s="3" t="s">
        <v>2073</v>
      </c>
      <c r="C685" s="1" t="s">
        <v>1206</v>
      </c>
      <c r="D685" t="s">
        <v>2074</v>
      </c>
      <c r="E685" t="str">
        <f t="shared" si="21"/>
        <v>ROD-SF-pron-155</v>
      </c>
      <c r="F685" s="10" t="s">
        <v>65</v>
      </c>
    </row>
    <row r="686" spans="1:7" ht="15.75">
      <c r="A686" s="1">
        <v>685</v>
      </c>
      <c r="B686" s="3" t="s">
        <v>2075</v>
      </c>
      <c r="C686" s="1" t="s">
        <v>1206</v>
      </c>
      <c r="D686" t="s">
        <v>2076</v>
      </c>
      <c r="E686" t="str">
        <f t="shared" si="21"/>
        <v>ROD-SF-pron-156</v>
      </c>
      <c r="F686" s="10" t="s">
        <v>65</v>
      </c>
    </row>
    <row r="687" spans="1:7" ht="15.75">
      <c r="A687" s="1">
        <v>686</v>
      </c>
      <c r="B687" s="3" t="s">
        <v>2077</v>
      </c>
      <c r="C687" s="1" t="s">
        <v>1206</v>
      </c>
      <c r="D687" t="s">
        <v>2078</v>
      </c>
      <c r="E687" t="str">
        <f t="shared" si="21"/>
        <v>ROD-SF-pron-157</v>
      </c>
      <c r="F687" s="10" t="s">
        <v>26</v>
      </c>
    </row>
    <row r="688" spans="1:7" ht="15.75">
      <c r="A688" s="1">
        <v>687</v>
      </c>
      <c r="B688" s="3" t="s">
        <v>2079</v>
      </c>
      <c r="C688" s="1" t="s">
        <v>1206</v>
      </c>
      <c r="D688" t="s">
        <v>2080</v>
      </c>
      <c r="E688" t="str">
        <f t="shared" si="21"/>
        <v>ROD-SF-pron-158</v>
      </c>
      <c r="F688" s="10" t="s">
        <v>35</v>
      </c>
    </row>
    <row r="689" spans="1:7" ht="15.75">
      <c r="A689" s="1">
        <v>688</v>
      </c>
      <c r="B689" s="3" t="s">
        <v>2081</v>
      </c>
      <c r="C689" s="1" t="s">
        <v>1206</v>
      </c>
      <c r="D689" t="s">
        <v>2082</v>
      </c>
      <c r="E689" t="str">
        <f t="shared" si="21"/>
        <v>ROD-SF-pron-159</v>
      </c>
      <c r="F689" s="10" t="s">
        <v>35</v>
      </c>
    </row>
    <row r="690" spans="1:7" ht="15.75">
      <c r="A690" s="1">
        <v>689</v>
      </c>
      <c r="B690" s="3" t="s">
        <v>2083</v>
      </c>
      <c r="C690" s="1" t="s">
        <v>1206</v>
      </c>
      <c r="D690" t="s">
        <v>2084</v>
      </c>
      <c r="E690" t="str">
        <f t="shared" si="21"/>
        <v>ROD-SF-pron-160</v>
      </c>
      <c r="F690" s="10" t="s">
        <v>65</v>
      </c>
    </row>
    <row r="691" spans="1:7" ht="15.75">
      <c r="A691" s="1">
        <v>690</v>
      </c>
      <c r="B691" s="3" t="s">
        <v>2085</v>
      </c>
      <c r="C691" s="1" t="s">
        <v>1206</v>
      </c>
      <c r="D691" t="s">
        <v>2086</v>
      </c>
      <c r="E691" t="str">
        <f t="shared" si="21"/>
        <v>ROD-SF-pron-161</v>
      </c>
      <c r="F691" s="10" t="s">
        <v>26</v>
      </c>
    </row>
    <row r="692" spans="1:7" ht="15.75">
      <c r="A692" s="1">
        <v>691</v>
      </c>
      <c r="B692" s="3" t="s">
        <v>2087</v>
      </c>
      <c r="C692" s="1" t="s">
        <v>1206</v>
      </c>
      <c r="D692" t="s">
        <v>2088</v>
      </c>
      <c r="E692" t="str">
        <f t="shared" si="21"/>
        <v>ROD-SF-pron-162</v>
      </c>
      <c r="F692" s="10" t="s">
        <v>65</v>
      </c>
    </row>
    <row r="693" spans="1:7" ht="15.75">
      <c r="A693" s="1">
        <v>692</v>
      </c>
      <c r="B693" s="3" t="s">
        <v>2089</v>
      </c>
      <c r="C693" s="1" t="s">
        <v>1206</v>
      </c>
      <c r="D693" t="s">
        <v>2090</v>
      </c>
      <c r="E693" t="str">
        <f t="shared" si="21"/>
        <v>ROD-SF-pron-163</v>
      </c>
      <c r="F693" s="10" t="s">
        <v>35</v>
      </c>
    </row>
    <row r="694" spans="1:7" ht="15.75">
      <c r="A694" s="1">
        <v>693</v>
      </c>
      <c r="B694" s="3" t="s">
        <v>2091</v>
      </c>
      <c r="C694" s="1" t="s">
        <v>1206</v>
      </c>
      <c r="D694" t="s">
        <v>2092</v>
      </c>
      <c r="E694" t="str">
        <f t="shared" si="21"/>
        <v>ROD-SF-pron-164</v>
      </c>
      <c r="F694" s="10" t="s">
        <v>65</v>
      </c>
    </row>
    <row r="695" spans="1:7" ht="15.75">
      <c r="A695" s="1">
        <v>694</v>
      </c>
      <c r="B695" s="3" t="s">
        <v>2093</v>
      </c>
      <c r="C695" s="1" t="s">
        <v>1206</v>
      </c>
      <c r="D695" t="s">
        <v>2094</v>
      </c>
      <c r="E695" t="str">
        <f t="shared" si="21"/>
        <v>ROD-SF-pron-165</v>
      </c>
      <c r="F695" s="10" t="s">
        <v>26</v>
      </c>
    </row>
    <row r="696" spans="1:7" ht="15.75">
      <c r="A696" s="1">
        <v>695</v>
      </c>
      <c r="B696" s="3" t="s">
        <v>2095</v>
      </c>
      <c r="C696" s="1" t="s">
        <v>1206</v>
      </c>
      <c r="D696" t="s">
        <v>2096</v>
      </c>
      <c r="E696" t="str">
        <f t="shared" si="21"/>
        <v>ROD-SF-pron-166</v>
      </c>
      <c r="F696" s="10" t="s">
        <v>35</v>
      </c>
      <c r="G696" s="10" t="s">
        <v>2097</v>
      </c>
    </row>
    <row r="697" spans="1:7" ht="15.75">
      <c r="A697" s="1">
        <v>696</v>
      </c>
      <c r="B697" s="3" t="s">
        <v>2098</v>
      </c>
      <c r="C697" s="1" t="s">
        <v>1206</v>
      </c>
      <c r="D697" t="s">
        <v>2099</v>
      </c>
      <c r="E697" t="str">
        <f t="shared" si="21"/>
        <v>ROD-SF-pron-167</v>
      </c>
      <c r="F697" s="10" t="s">
        <v>2100</v>
      </c>
      <c r="G697" s="10" t="s">
        <v>2101</v>
      </c>
    </row>
    <row r="698" spans="1:7" ht="15.75">
      <c r="A698" s="1">
        <v>697</v>
      </c>
      <c r="B698" s="3" t="s">
        <v>2102</v>
      </c>
      <c r="C698" s="1" t="s">
        <v>1206</v>
      </c>
      <c r="D698" t="s">
        <v>2103</v>
      </c>
      <c r="E698" t="str">
        <f t="shared" si="21"/>
        <v>ROD-SF-pron-168</v>
      </c>
      <c r="F698" s="10" t="s">
        <v>35</v>
      </c>
    </row>
    <row r="699" spans="1:7" ht="15.75">
      <c r="A699" s="1">
        <v>698</v>
      </c>
      <c r="B699" s="3" t="s">
        <v>2104</v>
      </c>
      <c r="C699" s="1" t="s">
        <v>1206</v>
      </c>
      <c r="D699" t="s">
        <v>2105</v>
      </c>
      <c r="E699" t="str">
        <f t="shared" si="21"/>
        <v>ROD-SF-pron-169</v>
      </c>
      <c r="F699" s="10" t="s">
        <v>35</v>
      </c>
    </row>
    <row r="700" spans="1:7" ht="15.75">
      <c r="A700" s="1">
        <v>699</v>
      </c>
      <c r="B700" s="3" t="s">
        <v>2106</v>
      </c>
      <c r="C700" s="1" t="s">
        <v>1206</v>
      </c>
      <c r="D700" t="s">
        <v>2107</v>
      </c>
      <c r="E700" t="str">
        <f t="shared" si="21"/>
        <v>ROD-SF-pron-170</v>
      </c>
      <c r="F700" s="10" t="s">
        <v>35</v>
      </c>
    </row>
    <row r="701" spans="1:7" ht="15.75">
      <c r="A701" s="1">
        <v>700</v>
      </c>
      <c r="B701" s="3" t="s">
        <v>2108</v>
      </c>
      <c r="C701" s="1" t="s">
        <v>1206</v>
      </c>
      <c r="D701" t="s">
        <v>2109</v>
      </c>
      <c r="E701" t="str">
        <f t="shared" si="21"/>
        <v>ROD-SF-pron-171</v>
      </c>
      <c r="F701" s="10" t="s">
        <v>35</v>
      </c>
    </row>
    <row r="702" spans="1:7" ht="15.75">
      <c r="A702" s="1">
        <v>701</v>
      </c>
      <c r="B702" s="3" t="s">
        <v>2110</v>
      </c>
      <c r="C702" s="1" t="s">
        <v>1206</v>
      </c>
      <c r="D702" t="s">
        <v>2111</v>
      </c>
      <c r="E702" t="str">
        <f t="shared" si="21"/>
        <v>ROD-SF-pron-172</v>
      </c>
      <c r="F702" s="10" t="s">
        <v>35</v>
      </c>
    </row>
    <row r="703" spans="1:7" ht="15.75">
      <c r="A703" s="1">
        <v>702</v>
      </c>
      <c r="B703" s="3" t="s">
        <v>2112</v>
      </c>
      <c r="C703" s="1" t="s">
        <v>1206</v>
      </c>
      <c r="D703" t="s">
        <v>2113</v>
      </c>
      <c r="E703" t="str">
        <f t="shared" si="21"/>
        <v>ROD-SF-pron-173</v>
      </c>
      <c r="F703" s="10" t="s">
        <v>35</v>
      </c>
    </row>
    <row r="704" spans="1:7" ht="15.75">
      <c r="A704" s="1">
        <v>703</v>
      </c>
      <c r="B704" s="3" t="s">
        <v>2114</v>
      </c>
      <c r="C704" s="1" t="s">
        <v>1206</v>
      </c>
      <c r="D704" t="s">
        <v>2115</v>
      </c>
      <c r="E704" t="str">
        <f t="shared" si="21"/>
        <v>ROD-SF-pron-174</v>
      </c>
      <c r="F704" s="10" t="s">
        <v>35</v>
      </c>
    </row>
    <row r="705" spans="1:7" ht="15.75">
      <c r="A705" s="1">
        <v>704</v>
      </c>
      <c r="B705" s="3" t="s">
        <v>2116</v>
      </c>
      <c r="C705" s="1" t="s">
        <v>1206</v>
      </c>
      <c r="D705" t="s">
        <v>2117</v>
      </c>
      <c r="E705" t="str">
        <f t="shared" si="21"/>
        <v>ROD-SF-pron-175</v>
      </c>
      <c r="F705" s="10" t="s">
        <v>35</v>
      </c>
      <c r="G705" s="10" t="s">
        <v>2118</v>
      </c>
    </row>
    <row r="706" spans="1:7" ht="15.75">
      <c r="A706" s="1">
        <v>705</v>
      </c>
      <c r="B706" s="3" t="s">
        <v>2119</v>
      </c>
      <c r="C706" s="1" t="s">
        <v>1206</v>
      </c>
      <c r="D706" t="s">
        <v>2120</v>
      </c>
      <c r="E706" t="str">
        <f t="shared" si="21"/>
        <v>ROD-SF-pron-176</v>
      </c>
      <c r="F706" s="10" t="s">
        <v>35</v>
      </c>
    </row>
    <row r="707" spans="1:7" ht="15.75">
      <c r="A707" s="1">
        <v>706</v>
      </c>
      <c r="B707" s="3" t="s">
        <v>2121</v>
      </c>
      <c r="C707" s="1" t="s">
        <v>1206</v>
      </c>
      <c r="D707" t="s">
        <v>2122</v>
      </c>
      <c r="E707" t="str">
        <f t="shared" si="21"/>
        <v>ROD-SF-pron-177</v>
      </c>
      <c r="F707" s="10" t="s">
        <v>35</v>
      </c>
    </row>
    <row r="708" spans="1:7" ht="15.75">
      <c r="A708" s="1">
        <v>707</v>
      </c>
      <c r="B708" s="3" t="s">
        <v>2123</v>
      </c>
      <c r="C708" s="1" t="s">
        <v>1206</v>
      </c>
      <c r="D708" t="s">
        <v>2124</v>
      </c>
      <c r="E708" t="str">
        <f t="shared" si="21"/>
        <v>ROD-SF-pron-178</v>
      </c>
      <c r="F708" s="10" t="s">
        <v>35</v>
      </c>
    </row>
    <row r="709" spans="1:7" ht="15.75">
      <c r="A709" s="1">
        <v>708</v>
      </c>
      <c r="B709" s="3" t="s">
        <v>2125</v>
      </c>
      <c r="C709" s="1" t="s">
        <v>1206</v>
      </c>
      <c r="D709" t="s">
        <v>2126</v>
      </c>
      <c r="E709" t="str">
        <f t="shared" si="21"/>
        <v>ROD-SF-pron-179</v>
      </c>
      <c r="F709" s="10" t="s">
        <v>35</v>
      </c>
    </row>
    <row r="710" spans="1:7" ht="15.75">
      <c r="A710" s="1">
        <v>709</v>
      </c>
      <c r="B710" s="3" t="s">
        <v>2127</v>
      </c>
      <c r="C710" s="1" t="s">
        <v>1206</v>
      </c>
      <c r="D710" t="s">
        <v>2128</v>
      </c>
      <c r="E710" t="str">
        <f t="shared" si="21"/>
        <v>ROD-SF-pron-180</v>
      </c>
      <c r="F710" s="10" t="s">
        <v>35</v>
      </c>
    </row>
    <row r="711" spans="1:7" ht="15.75">
      <c r="A711" s="1">
        <v>710</v>
      </c>
      <c r="B711" s="3" t="s">
        <v>2129</v>
      </c>
      <c r="C711" s="1" t="s">
        <v>1206</v>
      </c>
      <c r="D711" t="s">
        <v>2130</v>
      </c>
      <c r="E711" t="str">
        <f t="shared" si="21"/>
        <v>ROD-SF-pron-181</v>
      </c>
      <c r="F711" s="10" t="s">
        <v>35</v>
      </c>
    </row>
    <row r="712" spans="1:7" ht="15.75">
      <c r="A712" s="1">
        <v>711</v>
      </c>
      <c r="B712" s="3" t="s">
        <v>2131</v>
      </c>
      <c r="C712" s="1" t="s">
        <v>1206</v>
      </c>
      <c r="D712" t="s">
        <v>2132</v>
      </c>
      <c r="E712" t="str">
        <f t="shared" si="21"/>
        <v>ROD-SF-pron-182</v>
      </c>
      <c r="F712" s="10" t="s">
        <v>35</v>
      </c>
    </row>
    <row r="713" spans="1:7" ht="15.75">
      <c r="A713" s="1">
        <v>712</v>
      </c>
      <c r="B713" s="3" t="s">
        <v>2133</v>
      </c>
      <c r="C713" s="1" t="s">
        <v>1206</v>
      </c>
      <c r="D713" t="s">
        <v>2134</v>
      </c>
      <c r="E713" t="str">
        <f t="shared" si="21"/>
        <v>ROD-SF-pron-183</v>
      </c>
      <c r="F713" s="10" t="s">
        <v>35</v>
      </c>
    </row>
    <row r="714" spans="1:7" ht="15.75">
      <c r="A714" s="1">
        <v>713</v>
      </c>
      <c r="B714" s="3" t="s">
        <v>2135</v>
      </c>
      <c r="C714" s="1" t="s">
        <v>1206</v>
      </c>
      <c r="D714" t="s">
        <v>2136</v>
      </c>
      <c r="E714" t="str">
        <f t="shared" si="21"/>
        <v>ROD-SF-pron-184</v>
      </c>
      <c r="F714" s="10" t="s">
        <v>35</v>
      </c>
    </row>
    <row r="715" spans="1:7" ht="15.75">
      <c r="A715" s="1">
        <v>714</v>
      </c>
      <c r="B715" s="3" t="s">
        <v>2137</v>
      </c>
      <c r="C715" s="1" t="s">
        <v>1206</v>
      </c>
      <c r="D715" t="s">
        <v>2138</v>
      </c>
      <c r="E715" t="str">
        <f t="shared" si="21"/>
        <v>ROD-SF-pron-185</v>
      </c>
      <c r="F715" s="10" t="s">
        <v>35</v>
      </c>
    </row>
    <row r="716" spans="1:7" ht="15.75">
      <c r="A716" s="1">
        <v>715</v>
      </c>
      <c r="B716" s="3" t="s">
        <v>2139</v>
      </c>
      <c r="C716" s="1" t="s">
        <v>1206</v>
      </c>
      <c r="D716" t="s">
        <v>2140</v>
      </c>
      <c r="E716" t="str">
        <f t="shared" si="21"/>
        <v>ROD-SF-pron-186</v>
      </c>
      <c r="F716" s="10" t="s">
        <v>35</v>
      </c>
    </row>
    <row r="717" spans="1:7" ht="15.75">
      <c r="A717" s="1">
        <v>716</v>
      </c>
      <c r="B717" s="3" t="s">
        <v>2141</v>
      </c>
      <c r="C717" s="1" t="s">
        <v>1206</v>
      </c>
      <c r="D717" t="s">
        <v>2142</v>
      </c>
      <c r="E717" t="str">
        <f t="shared" si="21"/>
        <v>ROD-SF-pron-187</v>
      </c>
      <c r="F717" s="10" t="s">
        <v>35</v>
      </c>
    </row>
    <row r="718" spans="1:7" ht="15.75">
      <c r="A718" s="1">
        <v>717</v>
      </c>
      <c r="B718" s="3" t="s">
        <v>2143</v>
      </c>
      <c r="C718" s="1" t="s">
        <v>1206</v>
      </c>
      <c r="D718" t="s">
        <v>2144</v>
      </c>
      <c r="E718" t="str">
        <f t="shared" si="21"/>
        <v>ROD-SF-pron-188</v>
      </c>
      <c r="F718" s="10" t="s">
        <v>35</v>
      </c>
      <c r="G718" s="10" t="s">
        <v>2145</v>
      </c>
    </row>
    <row r="719" spans="1:7" ht="15.75">
      <c r="A719" s="1">
        <v>718</v>
      </c>
      <c r="B719" s="3" t="s">
        <v>2146</v>
      </c>
      <c r="C719" s="1" t="s">
        <v>1206</v>
      </c>
      <c r="D719" t="s">
        <v>2147</v>
      </c>
      <c r="E719" t="str">
        <f t="shared" ref="E719:E757" si="22">C719&amp;D719</f>
        <v>ROD-SF-pron-189</v>
      </c>
      <c r="G719" s="10" t="s">
        <v>2148</v>
      </c>
    </row>
    <row r="720" spans="1:7" ht="15.75">
      <c r="A720" s="1">
        <v>719</v>
      </c>
      <c r="B720" s="3" t="s">
        <v>2149</v>
      </c>
      <c r="C720" s="1" t="s">
        <v>1206</v>
      </c>
      <c r="D720" t="s">
        <v>2150</v>
      </c>
      <c r="E720" t="str">
        <f t="shared" si="22"/>
        <v>ROD-SF-pron-190</v>
      </c>
      <c r="F720" s="10" t="s">
        <v>35</v>
      </c>
    </row>
    <row r="721" spans="1:6" ht="15.75">
      <c r="A721" s="1">
        <v>720</v>
      </c>
      <c r="B721" s="3" t="s">
        <v>2151</v>
      </c>
      <c r="C721" s="1" t="s">
        <v>1206</v>
      </c>
      <c r="D721" t="s">
        <v>2152</v>
      </c>
      <c r="E721" t="str">
        <f t="shared" si="22"/>
        <v>ROD-SF-pron-191</v>
      </c>
      <c r="F721" s="10" t="s">
        <v>14</v>
      </c>
    </row>
    <row r="722" spans="1:6" ht="15.75">
      <c r="A722" s="1">
        <v>721</v>
      </c>
      <c r="B722" s="3" t="s">
        <v>2153</v>
      </c>
      <c r="C722" s="1" t="s">
        <v>1206</v>
      </c>
      <c r="D722" t="s">
        <v>2154</v>
      </c>
      <c r="E722" t="str">
        <f t="shared" si="22"/>
        <v>ROD-SF-pron-192</v>
      </c>
      <c r="F722" s="10" t="s">
        <v>14</v>
      </c>
    </row>
    <row r="723" spans="1:6" ht="15.75">
      <c r="A723" s="1">
        <v>722</v>
      </c>
      <c r="B723" s="3" t="s">
        <v>2155</v>
      </c>
      <c r="C723" s="1" t="s">
        <v>1206</v>
      </c>
      <c r="D723" t="s">
        <v>2156</v>
      </c>
      <c r="E723" t="str">
        <f t="shared" si="22"/>
        <v>ROD-SF-pron-193</v>
      </c>
      <c r="F723" s="10" t="s">
        <v>30</v>
      </c>
    </row>
    <row r="724" spans="1:6" ht="15.75">
      <c r="A724" s="1">
        <v>723</v>
      </c>
      <c r="B724" s="3" t="s">
        <v>2157</v>
      </c>
      <c r="C724" s="1" t="s">
        <v>1206</v>
      </c>
      <c r="D724" t="s">
        <v>2158</v>
      </c>
      <c r="E724" t="str">
        <f t="shared" si="22"/>
        <v>ROD-SF-pron-194</v>
      </c>
      <c r="F724" s="10" t="s">
        <v>14</v>
      </c>
    </row>
    <row r="725" spans="1:6" ht="15.75">
      <c r="A725" s="1">
        <v>724</v>
      </c>
      <c r="B725" s="3" t="s">
        <v>2159</v>
      </c>
      <c r="C725" s="1" t="s">
        <v>1206</v>
      </c>
      <c r="D725" t="s">
        <v>2160</v>
      </c>
      <c r="E725" t="str">
        <f t="shared" si="22"/>
        <v>ROD-SF-pron-195</v>
      </c>
      <c r="F725" s="10" t="s">
        <v>14</v>
      </c>
    </row>
    <row r="726" spans="1:6" ht="15.75">
      <c r="A726" s="1">
        <v>725</v>
      </c>
      <c r="B726" s="3" t="s">
        <v>2161</v>
      </c>
      <c r="C726" s="1" t="s">
        <v>1206</v>
      </c>
      <c r="D726" t="s">
        <v>2162</v>
      </c>
      <c r="E726" t="str">
        <f t="shared" si="22"/>
        <v>ROD-SF-pron-196</v>
      </c>
      <c r="F726" s="10" t="s">
        <v>14</v>
      </c>
    </row>
    <row r="727" spans="1:6" ht="15.75">
      <c r="A727" s="1">
        <v>726</v>
      </c>
      <c r="B727" s="3" t="s">
        <v>2163</v>
      </c>
      <c r="C727" s="1" t="s">
        <v>1206</v>
      </c>
      <c r="D727" t="s">
        <v>2164</v>
      </c>
      <c r="E727" t="str">
        <f t="shared" si="22"/>
        <v>ROD-SF-pron-197</v>
      </c>
      <c r="F727" s="10" t="s">
        <v>14</v>
      </c>
    </row>
    <row r="728" spans="1:6" ht="15.75">
      <c r="A728" s="1">
        <v>727</v>
      </c>
      <c r="B728" s="3" t="s">
        <v>2165</v>
      </c>
      <c r="C728" s="1" t="s">
        <v>1206</v>
      </c>
      <c r="D728" t="s">
        <v>2166</v>
      </c>
      <c r="E728" t="str">
        <f t="shared" si="22"/>
        <v>ROD-SF-pron-198</v>
      </c>
      <c r="F728" s="10" t="s">
        <v>9</v>
      </c>
    </row>
    <row r="729" spans="1:6" ht="15.75">
      <c r="A729" s="1">
        <v>728</v>
      </c>
      <c r="B729" s="3" t="s">
        <v>2167</v>
      </c>
      <c r="C729" s="1" t="s">
        <v>1206</v>
      </c>
      <c r="D729" t="s">
        <v>2168</v>
      </c>
      <c r="E729" t="str">
        <f t="shared" si="22"/>
        <v>ROD-SF-pron-199</v>
      </c>
      <c r="F729" s="10" t="s">
        <v>30</v>
      </c>
    </row>
    <row r="730" spans="1:6" ht="15.75">
      <c r="A730" s="1">
        <v>729</v>
      </c>
      <c r="B730" s="3" t="s">
        <v>2169</v>
      </c>
      <c r="C730" s="1" t="s">
        <v>1206</v>
      </c>
      <c r="D730" t="s">
        <v>2170</v>
      </c>
      <c r="E730" t="str">
        <f t="shared" si="22"/>
        <v>ROD-SF-pron-200</v>
      </c>
      <c r="F730" s="10" t="s">
        <v>30</v>
      </c>
    </row>
    <row r="731" spans="1:6" ht="15.75">
      <c r="A731" s="1">
        <v>730</v>
      </c>
      <c r="B731" s="3" t="s">
        <v>2171</v>
      </c>
      <c r="C731" s="1" t="s">
        <v>1206</v>
      </c>
      <c r="D731" t="s">
        <v>2172</v>
      </c>
      <c r="E731" t="str">
        <f t="shared" si="22"/>
        <v>ROD-SF-pron-201</v>
      </c>
      <c r="F731" s="10" t="s">
        <v>30</v>
      </c>
    </row>
    <row r="732" spans="1:6" ht="15.75">
      <c r="A732" s="1">
        <v>731</v>
      </c>
      <c r="B732" s="3" t="s">
        <v>2173</v>
      </c>
      <c r="C732" s="1" t="s">
        <v>1206</v>
      </c>
      <c r="D732" t="s">
        <v>2174</v>
      </c>
      <c r="E732" t="str">
        <f t="shared" si="22"/>
        <v>ROD-SF-pron-202</v>
      </c>
      <c r="F732" s="10" t="s">
        <v>30</v>
      </c>
    </row>
    <row r="733" spans="1:6" ht="15.75">
      <c r="A733" s="1">
        <v>732</v>
      </c>
      <c r="B733" s="3" t="s">
        <v>2175</v>
      </c>
      <c r="C733" s="1" t="s">
        <v>1206</v>
      </c>
      <c r="D733" t="s">
        <v>2176</v>
      </c>
      <c r="E733" t="str">
        <f t="shared" si="22"/>
        <v>ROD-SF-pron-203</v>
      </c>
      <c r="F733" s="10" t="s">
        <v>30</v>
      </c>
    </row>
    <row r="734" spans="1:6" ht="15.75">
      <c r="A734" s="1">
        <v>733</v>
      </c>
      <c r="B734" s="3" t="s">
        <v>2177</v>
      </c>
      <c r="C734" s="1" t="s">
        <v>1206</v>
      </c>
      <c r="D734" t="s">
        <v>2178</v>
      </c>
      <c r="E734" t="str">
        <f t="shared" si="22"/>
        <v>ROD-SF-pron-204</v>
      </c>
      <c r="F734" s="10" t="s">
        <v>14</v>
      </c>
    </row>
    <row r="735" spans="1:6" ht="15.75">
      <c r="A735" s="1">
        <v>734</v>
      </c>
      <c r="B735" s="3" t="s">
        <v>2179</v>
      </c>
      <c r="C735" s="1" t="s">
        <v>1206</v>
      </c>
      <c r="D735" t="s">
        <v>2180</v>
      </c>
      <c r="E735" t="str">
        <f t="shared" si="22"/>
        <v>ROD-SF-pron-205</v>
      </c>
      <c r="F735" s="10" t="s">
        <v>26</v>
      </c>
    </row>
    <row r="736" spans="1:6" ht="15.75">
      <c r="A736" s="1">
        <v>735</v>
      </c>
      <c r="B736" s="3" t="s">
        <v>2181</v>
      </c>
      <c r="C736" s="1" t="s">
        <v>1206</v>
      </c>
      <c r="D736" t="s">
        <v>2182</v>
      </c>
      <c r="E736" t="str">
        <f t="shared" si="22"/>
        <v>ROD-SF-pron-206</v>
      </c>
      <c r="F736" s="10" t="s">
        <v>9</v>
      </c>
    </row>
    <row r="737" spans="1:7" ht="15.75">
      <c r="A737" s="1">
        <v>736</v>
      </c>
      <c r="B737" s="3" t="s">
        <v>2183</v>
      </c>
      <c r="C737" s="1" t="s">
        <v>1206</v>
      </c>
      <c r="D737" t="s">
        <v>2184</v>
      </c>
      <c r="E737" t="str">
        <f t="shared" si="22"/>
        <v>ROD-SF-pron-207</v>
      </c>
      <c r="F737" s="10" t="s">
        <v>9</v>
      </c>
    </row>
    <row r="738" spans="1:7" ht="15.75">
      <c r="A738" s="1">
        <v>737</v>
      </c>
      <c r="B738" s="3" t="s">
        <v>2185</v>
      </c>
      <c r="C738" s="1" t="s">
        <v>1206</v>
      </c>
      <c r="D738" t="s">
        <v>2186</v>
      </c>
      <c r="E738" t="str">
        <f t="shared" si="22"/>
        <v>ROD-SF-pron-208</v>
      </c>
      <c r="F738" s="10" t="s">
        <v>9</v>
      </c>
    </row>
    <row r="739" spans="1:7" ht="15.75">
      <c r="A739" s="1">
        <v>738</v>
      </c>
      <c r="B739" s="3" t="s">
        <v>2187</v>
      </c>
      <c r="C739" s="1" t="s">
        <v>1206</v>
      </c>
      <c r="D739" t="s">
        <v>2188</v>
      </c>
      <c r="E739" t="str">
        <f t="shared" si="22"/>
        <v>ROD-SF-pron-209</v>
      </c>
      <c r="F739" s="10" t="s">
        <v>14</v>
      </c>
    </row>
    <row r="740" spans="1:7" ht="15.75">
      <c r="A740" s="1">
        <v>739</v>
      </c>
      <c r="B740" s="3" t="s">
        <v>2189</v>
      </c>
      <c r="C740" s="1" t="s">
        <v>1206</v>
      </c>
      <c r="D740" t="s">
        <v>2190</v>
      </c>
      <c r="E740" t="str">
        <f t="shared" si="22"/>
        <v>ROD-SF-pron-210</v>
      </c>
      <c r="F740" s="10" t="s">
        <v>14</v>
      </c>
    </row>
    <row r="741" spans="1:7" ht="15.75">
      <c r="A741" s="1">
        <v>740</v>
      </c>
      <c r="B741" s="3" t="s">
        <v>2191</v>
      </c>
      <c r="C741" s="1" t="s">
        <v>1206</v>
      </c>
      <c r="D741" t="s">
        <v>2192</v>
      </c>
      <c r="E741" t="str">
        <f t="shared" si="22"/>
        <v>ROD-SF-pron-211</v>
      </c>
      <c r="F741" s="10" t="s">
        <v>14</v>
      </c>
    </row>
    <row r="742" spans="1:7" ht="15.75">
      <c r="A742" s="1">
        <v>741</v>
      </c>
      <c r="B742" s="3" t="s">
        <v>2193</v>
      </c>
      <c r="C742" s="1" t="s">
        <v>1206</v>
      </c>
      <c r="D742" t="s">
        <v>2194</v>
      </c>
      <c r="E742" t="str">
        <f t="shared" si="22"/>
        <v>ROD-SF-pron-212</v>
      </c>
      <c r="F742" s="10" t="s">
        <v>26</v>
      </c>
    </row>
    <row r="743" spans="1:7" ht="15.75">
      <c r="A743" s="1">
        <v>742</v>
      </c>
      <c r="B743" s="3" t="s">
        <v>2195</v>
      </c>
      <c r="C743" s="1" t="s">
        <v>1206</v>
      </c>
      <c r="D743" t="s">
        <v>2196</v>
      </c>
      <c r="E743" t="str">
        <f t="shared" si="22"/>
        <v>ROD-SF-pron-213</v>
      </c>
      <c r="F743" s="10" t="s">
        <v>14</v>
      </c>
    </row>
    <row r="744" spans="1:7" ht="15.75">
      <c r="A744" s="1">
        <v>743</v>
      </c>
      <c r="B744" s="3" t="s">
        <v>2197</v>
      </c>
      <c r="C744" s="1" t="s">
        <v>1206</v>
      </c>
      <c r="D744" t="s">
        <v>2198</v>
      </c>
      <c r="E744" t="str">
        <f t="shared" si="22"/>
        <v>ROD-SF-pron-214</v>
      </c>
      <c r="F744" s="10" t="s">
        <v>9</v>
      </c>
    </row>
    <row r="745" spans="1:7" ht="15.75">
      <c r="A745" s="1">
        <v>744</v>
      </c>
      <c r="B745" s="3" t="s">
        <v>2199</v>
      </c>
      <c r="C745" s="1" t="s">
        <v>1206</v>
      </c>
      <c r="D745" t="s">
        <v>2200</v>
      </c>
      <c r="E745" t="str">
        <f t="shared" si="22"/>
        <v>ROD-SF-pron-215</v>
      </c>
      <c r="F745" s="10" t="s">
        <v>26</v>
      </c>
    </row>
    <row r="746" spans="1:7" ht="15.75">
      <c r="A746" s="1">
        <v>745</v>
      </c>
      <c r="B746" s="3" t="s">
        <v>2201</v>
      </c>
      <c r="C746" s="1" t="s">
        <v>1206</v>
      </c>
      <c r="D746" t="s">
        <v>2202</v>
      </c>
      <c r="E746" t="str">
        <f t="shared" si="22"/>
        <v>ROD-SF-pron-216</v>
      </c>
      <c r="F746" s="10" t="s">
        <v>26</v>
      </c>
    </row>
    <row r="747" spans="1:7" ht="15.75">
      <c r="A747" s="1">
        <v>746</v>
      </c>
      <c r="B747" s="3" t="s">
        <v>2203</v>
      </c>
      <c r="C747" s="1" t="s">
        <v>1206</v>
      </c>
      <c r="D747" t="s">
        <v>2204</v>
      </c>
      <c r="E747" t="str">
        <f t="shared" si="22"/>
        <v>ROD-SF-pron-217</v>
      </c>
      <c r="F747" s="10" t="s">
        <v>30</v>
      </c>
    </row>
    <row r="748" spans="1:7" ht="15.75">
      <c r="A748" s="1">
        <v>747</v>
      </c>
      <c r="B748" s="3" t="s">
        <v>2205</v>
      </c>
      <c r="C748" s="1" t="s">
        <v>1206</v>
      </c>
      <c r="D748" t="s">
        <v>2206</v>
      </c>
      <c r="E748" t="str">
        <f t="shared" si="22"/>
        <v>ROD-SF-pron-218</v>
      </c>
      <c r="F748" s="10" t="s">
        <v>14</v>
      </c>
    </row>
    <row r="749" spans="1:7" ht="15.75">
      <c r="A749" s="1">
        <v>748</v>
      </c>
      <c r="B749" s="3" t="s">
        <v>2207</v>
      </c>
      <c r="C749" s="1" t="s">
        <v>1206</v>
      </c>
      <c r="D749" t="s">
        <v>2208</v>
      </c>
      <c r="E749" t="str">
        <f t="shared" si="22"/>
        <v>ROD-SF-pron-219</v>
      </c>
      <c r="F749" s="10" t="s">
        <v>26</v>
      </c>
    </row>
    <row r="750" spans="1:7" ht="15.75">
      <c r="A750" s="1">
        <v>749</v>
      </c>
      <c r="B750" s="3" t="s">
        <v>2209</v>
      </c>
      <c r="C750" s="1" t="s">
        <v>1206</v>
      </c>
      <c r="D750" t="s">
        <v>2210</v>
      </c>
      <c r="E750" t="str">
        <f t="shared" si="22"/>
        <v>ROD-SF-pron-220</v>
      </c>
      <c r="F750" s="10" t="s">
        <v>14</v>
      </c>
    </row>
    <row r="751" spans="1:7" ht="15.75">
      <c r="A751" s="1">
        <v>750</v>
      </c>
      <c r="B751" s="3" t="s">
        <v>2211</v>
      </c>
      <c r="C751" s="1" t="s">
        <v>1206</v>
      </c>
      <c r="D751" t="s">
        <v>2212</v>
      </c>
      <c r="E751" t="str">
        <f t="shared" si="22"/>
        <v>ROD-SF-pron-221</v>
      </c>
      <c r="F751" s="10" t="s">
        <v>14</v>
      </c>
      <c r="G751" s="39" t="s">
        <v>1331</v>
      </c>
    </row>
    <row r="752" spans="1:7" ht="15.75">
      <c r="A752" s="1">
        <v>751</v>
      </c>
      <c r="B752" s="3" t="s">
        <v>2213</v>
      </c>
      <c r="C752" s="1" t="s">
        <v>1206</v>
      </c>
      <c r="D752" t="s">
        <v>2214</v>
      </c>
      <c r="E752" t="str">
        <f t="shared" si="22"/>
        <v>ROD-SF-pron-222</v>
      </c>
      <c r="F752" s="10" t="s">
        <v>9</v>
      </c>
      <c r="G752" s="39" t="s">
        <v>1331</v>
      </c>
    </row>
    <row r="753" spans="1:7" ht="15.75">
      <c r="A753" s="1">
        <v>752</v>
      </c>
      <c r="B753" s="3" t="s">
        <v>2215</v>
      </c>
      <c r="C753" s="1" t="s">
        <v>1206</v>
      </c>
      <c r="D753" t="s">
        <v>2216</v>
      </c>
      <c r="E753" t="str">
        <f t="shared" si="22"/>
        <v>ROD-SF-pron-223</v>
      </c>
      <c r="F753" s="10" t="s">
        <v>9</v>
      </c>
      <c r="G753" s="39" t="s">
        <v>1331</v>
      </c>
    </row>
    <row r="754" spans="1:7" ht="15.75">
      <c r="A754" s="1">
        <v>753</v>
      </c>
      <c r="B754" s="3" t="s">
        <v>2217</v>
      </c>
      <c r="C754" s="1" t="s">
        <v>1206</v>
      </c>
      <c r="D754" t="s">
        <v>2218</v>
      </c>
      <c r="E754" t="str">
        <f t="shared" si="22"/>
        <v>ROD-SF-pron-224</v>
      </c>
      <c r="F754" s="10" t="s">
        <v>14</v>
      </c>
      <c r="G754" s="39" t="s">
        <v>1331</v>
      </c>
    </row>
    <row r="755" spans="1:7" ht="15.75">
      <c r="A755" s="1">
        <v>754</v>
      </c>
      <c r="B755" s="3" t="s">
        <v>2219</v>
      </c>
      <c r="C755" s="1" t="s">
        <v>1206</v>
      </c>
      <c r="D755" t="s">
        <v>2220</v>
      </c>
      <c r="E755" t="str">
        <f t="shared" si="22"/>
        <v>ROD-SF-pron-225</v>
      </c>
      <c r="F755" s="10" t="s">
        <v>14</v>
      </c>
      <c r="G755" s="39" t="s">
        <v>1331</v>
      </c>
    </row>
    <row r="756" spans="1:7" ht="15.75">
      <c r="A756" s="1">
        <v>755</v>
      </c>
      <c r="B756" s="3" t="s">
        <v>2221</v>
      </c>
      <c r="C756" s="1" t="s">
        <v>1206</v>
      </c>
      <c r="D756" t="s">
        <v>2222</v>
      </c>
      <c r="E756" t="str">
        <f t="shared" si="22"/>
        <v>ROD-SF-pron-226</v>
      </c>
      <c r="F756" s="10" t="s">
        <v>14</v>
      </c>
      <c r="G756" s="39" t="s">
        <v>1331</v>
      </c>
    </row>
    <row r="757" spans="1:7" ht="15.75">
      <c r="A757" s="1">
        <v>756</v>
      </c>
      <c r="B757" s="3" t="s">
        <v>2223</v>
      </c>
      <c r="C757" s="1" t="s">
        <v>1206</v>
      </c>
      <c r="D757" t="s">
        <v>2224</v>
      </c>
      <c r="E757" t="str">
        <f t="shared" si="22"/>
        <v>ROD-SF-pron-227</v>
      </c>
      <c r="F757" s="10" t="s">
        <v>14</v>
      </c>
      <c r="G757" s="39" t="s">
        <v>1331</v>
      </c>
    </row>
    <row r="758" spans="1:7" ht="15.75">
      <c r="A758" s="1">
        <v>757</v>
      </c>
      <c r="B758" s="3" t="s">
        <v>2225</v>
      </c>
      <c r="C758" s="1" t="s">
        <v>1206</v>
      </c>
      <c r="D758" t="s">
        <v>2226</v>
      </c>
      <c r="E758" t="str">
        <f t="shared" ref="E758:E759" si="23">C758&amp;D758</f>
        <v>ROD-SF-pron-228</v>
      </c>
      <c r="F758" s="10" t="s">
        <v>14</v>
      </c>
      <c r="G758" s="39" t="s">
        <v>1331</v>
      </c>
    </row>
    <row r="759" spans="1:7" ht="15.75">
      <c r="A759" s="1">
        <v>758</v>
      </c>
      <c r="B759" s="3" t="s">
        <v>2227</v>
      </c>
      <c r="C759" s="1" t="s">
        <v>1206</v>
      </c>
      <c r="D759" t="s">
        <v>2228</v>
      </c>
      <c r="E759" t="str">
        <f t="shared" si="23"/>
        <v>ROD-SF-pron-229</v>
      </c>
      <c r="F759" s="10" t="s">
        <v>65</v>
      </c>
      <c r="G759" s="10" t="s">
        <v>2229</v>
      </c>
    </row>
    <row r="760" spans="1:7">
      <c r="A760" s="1">
        <v>759</v>
      </c>
      <c r="B760" s="3" t="s">
        <v>2230</v>
      </c>
      <c r="C760" s="1" t="s">
        <v>1206</v>
      </c>
      <c r="D760" t="s">
        <v>2231</v>
      </c>
      <c r="E760" t="str">
        <f t="shared" ref="E760" si="24">C760&amp;D760</f>
        <v>ROD-SF-head-137</v>
      </c>
      <c r="F760" s="10" t="s">
        <v>26</v>
      </c>
      <c r="G760" s="39" t="s">
        <v>1331</v>
      </c>
    </row>
    <row r="761" spans="1:7">
      <c r="A761" s="1">
        <v>760</v>
      </c>
      <c r="B761" s="3" t="s">
        <v>2232</v>
      </c>
      <c r="C761" s="1" t="s">
        <v>1206</v>
      </c>
      <c r="D761" t="s">
        <v>2233</v>
      </c>
      <c r="E761" t="str">
        <f t="shared" ref="E761:E824" si="25">C761&amp;D761</f>
        <v>ROD-SF-head-138</v>
      </c>
      <c r="F761" s="10" t="s">
        <v>35</v>
      </c>
      <c r="G761" s="39" t="s">
        <v>1331</v>
      </c>
    </row>
    <row r="762" spans="1:7">
      <c r="A762" s="1">
        <v>761</v>
      </c>
      <c r="B762" s="3" t="s">
        <v>2234</v>
      </c>
      <c r="C762" s="1" t="s">
        <v>1206</v>
      </c>
      <c r="D762" t="s">
        <v>2235</v>
      </c>
      <c r="E762" t="str">
        <f t="shared" si="25"/>
        <v>ROD-SF-head-139</v>
      </c>
      <c r="F762" s="10" t="s">
        <v>35</v>
      </c>
      <c r="G762" s="39" t="s">
        <v>1331</v>
      </c>
    </row>
    <row r="763" spans="1:7">
      <c r="A763" s="1">
        <v>762</v>
      </c>
      <c r="B763" s="3" t="s">
        <v>2236</v>
      </c>
      <c r="C763" s="1" t="s">
        <v>1206</v>
      </c>
      <c r="D763" t="s">
        <v>2237</v>
      </c>
      <c r="E763" t="str">
        <f t="shared" si="25"/>
        <v>ROD-SF-head-140</v>
      </c>
      <c r="F763" s="10" t="s">
        <v>35</v>
      </c>
      <c r="G763" s="39" t="s">
        <v>1331</v>
      </c>
    </row>
    <row r="764" spans="1:7">
      <c r="A764" s="1">
        <v>763</v>
      </c>
      <c r="B764" s="3" t="s">
        <v>2238</v>
      </c>
      <c r="C764" s="1" t="s">
        <v>1206</v>
      </c>
      <c r="D764" t="s">
        <v>2239</v>
      </c>
      <c r="E764" t="str">
        <f t="shared" si="25"/>
        <v>ROD-SF-head-141</v>
      </c>
      <c r="F764" s="10" t="s">
        <v>35</v>
      </c>
      <c r="G764" s="39" t="s">
        <v>1331</v>
      </c>
    </row>
    <row r="765" spans="1:7">
      <c r="A765" s="1">
        <v>764</v>
      </c>
      <c r="B765" s="3" t="s">
        <v>2240</v>
      </c>
      <c r="C765" s="1" t="s">
        <v>1206</v>
      </c>
      <c r="D765" t="s">
        <v>2241</v>
      </c>
      <c r="E765" t="str">
        <f t="shared" si="25"/>
        <v>ROD-SF-head-142</v>
      </c>
      <c r="F765" s="10" t="s">
        <v>35</v>
      </c>
      <c r="G765" s="39" t="s">
        <v>1331</v>
      </c>
    </row>
    <row r="766" spans="1:7">
      <c r="A766" s="1">
        <v>765</v>
      </c>
      <c r="B766" s="3" t="s">
        <v>2242</v>
      </c>
      <c r="C766" s="1" t="s">
        <v>1206</v>
      </c>
      <c r="D766" t="s">
        <v>2243</v>
      </c>
      <c r="E766" t="str">
        <f t="shared" si="25"/>
        <v>ROD-SF-head-143</v>
      </c>
      <c r="F766" s="10" t="s">
        <v>35</v>
      </c>
      <c r="G766" s="39" t="s">
        <v>1331</v>
      </c>
    </row>
    <row r="767" spans="1:7">
      <c r="A767" s="1">
        <v>766</v>
      </c>
      <c r="B767" s="3" t="s">
        <v>2244</v>
      </c>
      <c r="C767" s="1" t="s">
        <v>1206</v>
      </c>
      <c r="D767" t="s">
        <v>2245</v>
      </c>
      <c r="E767" t="str">
        <f t="shared" si="25"/>
        <v>ROD-SF-head-144</v>
      </c>
      <c r="F767" s="10" t="s">
        <v>35</v>
      </c>
      <c r="G767" s="39" t="s">
        <v>1331</v>
      </c>
    </row>
    <row r="768" spans="1:7">
      <c r="A768" s="1">
        <v>767</v>
      </c>
      <c r="B768" s="3" t="s">
        <v>2246</v>
      </c>
      <c r="C768" s="1" t="s">
        <v>1206</v>
      </c>
      <c r="D768" t="s">
        <v>2247</v>
      </c>
      <c r="E768" t="str">
        <f t="shared" si="25"/>
        <v>ROD-SF-head-145</v>
      </c>
      <c r="F768" s="10" t="s">
        <v>35</v>
      </c>
      <c r="G768" s="39" t="s">
        <v>1331</v>
      </c>
    </row>
    <row r="769" spans="1:7">
      <c r="A769" s="1">
        <v>768</v>
      </c>
      <c r="B769" s="3" t="s">
        <v>2248</v>
      </c>
      <c r="C769" s="1" t="s">
        <v>1206</v>
      </c>
      <c r="D769" t="s">
        <v>2249</v>
      </c>
      <c r="E769" t="str">
        <f t="shared" si="25"/>
        <v>ROD-SF-head-146</v>
      </c>
      <c r="F769" s="10" t="s">
        <v>35</v>
      </c>
      <c r="G769" s="39" t="s">
        <v>1331</v>
      </c>
    </row>
    <row r="770" spans="1:7">
      <c r="A770" s="1">
        <v>769</v>
      </c>
      <c r="B770" s="3" t="s">
        <v>2250</v>
      </c>
      <c r="C770" s="1" t="s">
        <v>1206</v>
      </c>
      <c r="D770" t="s">
        <v>2251</v>
      </c>
      <c r="E770" t="str">
        <f t="shared" si="25"/>
        <v>ROD-SF-head-147</v>
      </c>
      <c r="F770" s="10" t="s">
        <v>35</v>
      </c>
      <c r="G770" s="39" t="s">
        <v>1331</v>
      </c>
    </row>
    <row r="771" spans="1:7">
      <c r="A771" s="1">
        <v>770</v>
      </c>
      <c r="B771" s="3" t="s">
        <v>2252</v>
      </c>
      <c r="C771" s="1" t="s">
        <v>1206</v>
      </c>
      <c r="D771" t="s">
        <v>2253</v>
      </c>
      <c r="E771" t="str">
        <f t="shared" si="25"/>
        <v>ROD-SF-head-148</v>
      </c>
      <c r="F771" s="10" t="s">
        <v>35</v>
      </c>
      <c r="G771" s="39" t="s">
        <v>1331</v>
      </c>
    </row>
    <row r="772" spans="1:7">
      <c r="A772" s="1">
        <v>771</v>
      </c>
      <c r="B772" s="3" t="s">
        <v>2254</v>
      </c>
      <c r="C772" s="1" t="s">
        <v>1206</v>
      </c>
      <c r="D772" t="s">
        <v>2255</v>
      </c>
      <c r="E772" t="str">
        <f t="shared" si="25"/>
        <v>ROD-SF-head-149</v>
      </c>
      <c r="F772" s="10" t="s">
        <v>35</v>
      </c>
      <c r="G772" s="39" t="s">
        <v>1331</v>
      </c>
    </row>
    <row r="773" spans="1:7">
      <c r="A773" s="1">
        <v>772</v>
      </c>
      <c r="B773" s="3" t="s">
        <v>2256</v>
      </c>
      <c r="C773" s="1" t="s">
        <v>1206</v>
      </c>
      <c r="D773" t="s">
        <v>2257</v>
      </c>
      <c r="E773" t="str">
        <f t="shared" si="25"/>
        <v>ROD-SF-head-150</v>
      </c>
      <c r="F773" s="10" t="s">
        <v>35</v>
      </c>
      <c r="G773" s="39" t="s">
        <v>1331</v>
      </c>
    </row>
    <row r="774" spans="1:7">
      <c r="A774" s="1">
        <v>773</v>
      </c>
      <c r="B774" s="3" t="s">
        <v>2258</v>
      </c>
      <c r="C774" s="1" t="s">
        <v>1206</v>
      </c>
      <c r="D774" t="s">
        <v>2259</v>
      </c>
      <c r="E774" t="str">
        <f t="shared" si="25"/>
        <v>ROD-SF-head-151</v>
      </c>
      <c r="F774" s="10" t="s">
        <v>35</v>
      </c>
      <c r="G774" s="39" t="s">
        <v>1331</v>
      </c>
    </row>
    <row r="775" spans="1:7">
      <c r="A775" s="1">
        <v>774</v>
      </c>
      <c r="B775" s="3" t="s">
        <v>2260</v>
      </c>
      <c r="C775" s="1" t="s">
        <v>1206</v>
      </c>
      <c r="D775" t="s">
        <v>2261</v>
      </c>
      <c r="E775" t="str">
        <f t="shared" si="25"/>
        <v>ROD-SF-head-152</v>
      </c>
      <c r="F775" s="10" t="s">
        <v>35</v>
      </c>
      <c r="G775" s="39" t="s">
        <v>1331</v>
      </c>
    </row>
    <row r="776" spans="1:7" ht="15.75">
      <c r="A776" s="1">
        <v>775</v>
      </c>
      <c r="B776" s="3" t="s">
        <v>2262</v>
      </c>
      <c r="C776" s="1" t="s">
        <v>1206</v>
      </c>
      <c r="D776" t="s">
        <v>2263</v>
      </c>
      <c r="E776" t="str">
        <f t="shared" si="25"/>
        <v>ROD-SF-head-153</v>
      </c>
      <c r="F776" s="10" t="s">
        <v>35</v>
      </c>
      <c r="G776" s="10" t="s">
        <v>2264</v>
      </c>
    </row>
    <row r="777" spans="1:7">
      <c r="A777" s="1">
        <v>776</v>
      </c>
      <c r="B777" s="3" t="s">
        <v>2265</v>
      </c>
      <c r="C777" s="1" t="s">
        <v>1206</v>
      </c>
      <c r="D777" t="s">
        <v>2266</v>
      </c>
      <c r="E777" t="str">
        <f t="shared" si="25"/>
        <v>ROD-SF-head-154</v>
      </c>
      <c r="F777" s="10" t="s">
        <v>35</v>
      </c>
      <c r="G777" s="39" t="s">
        <v>1331</v>
      </c>
    </row>
    <row r="778" spans="1:7">
      <c r="A778" s="1">
        <v>777</v>
      </c>
      <c r="B778" s="3" t="s">
        <v>2267</v>
      </c>
      <c r="C778" s="1" t="s">
        <v>1206</v>
      </c>
      <c r="D778" t="s">
        <v>2268</v>
      </c>
      <c r="E778" t="str">
        <f t="shared" si="25"/>
        <v>ROD-SF-head-155</v>
      </c>
      <c r="F778" s="10" t="s">
        <v>35</v>
      </c>
      <c r="G778" s="39" t="s">
        <v>1331</v>
      </c>
    </row>
    <row r="779" spans="1:7">
      <c r="A779" s="1">
        <v>778</v>
      </c>
      <c r="B779" s="3" t="s">
        <v>2269</v>
      </c>
      <c r="C779" s="1" t="s">
        <v>1206</v>
      </c>
      <c r="D779" t="s">
        <v>2270</v>
      </c>
      <c r="E779" t="str">
        <f t="shared" si="25"/>
        <v>ROD-SF-head-156</v>
      </c>
      <c r="F779" s="10" t="s">
        <v>35</v>
      </c>
      <c r="G779" s="39" t="s">
        <v>1331</v>
      </c>
    </row>
    <row r="780" spans="1:7">
      <c r="A780" s="1">
        <v>779</v>
      </c>
      <c r="B780" s="3" t="s">
        <v>2271</v>
      </c>
      <c r="C780" s="1" t="s">
        <v>1206</v>
      </c>
      <c r="D780" t="s">
        <v>2272</v>
      </c>
      <c r="E780" t="str">
        <f t="shared" si="25"/>
        <v>ROD-SF-head-157</v>
      </c>
      <c r="F780" s="10" t="s">
        <v>35</v>
      </c>
      <c r="G780" s="39" t="s">
        <v>1331</v>
      </c>
    </row>
    <row r="781" spans="1:7">
      <c r="A781" s="1">
        <v>780</v>
      </c>
      <c r="B781" s="3" t="s">
        <v>2273</v>
      </c>
      <c r="C781" s="1" t="s">
        <v>1206</v>
      </c>
      <c r="D781" t="s">
        <v>2274</v>
      </c>
      <c r="E781" t="str">
        <f t="shared" si="25"/>
        <v>ROD-SF-head-158</v>
      </c>
      <c r="F781" s="10" t="s">
        <v>35</v>
      </c>
      <c r="G781" s="39" t="s">
        <v>1331</v>
      </c>
    </row>
    <row r="782" spans="1:7">
      <c r="A782" s="1">
        <v>781</v>
      </c>
      <c r="B782" s="3" t="s">
        <v>2275</v>
      </c>
      <c r="C782" s="1" t="s">
        <v>1206</v>
      </c>
      <c r="D782" t="s">
        <v>2276</v>
      </c>
      <c r="E782" t="str">
        <f t="shared" si="25"/>
        <v>ROD-SF-head-159</v>
      </c>
      <c r="F782" s="10" t="s">
        <v>35</v>
      </c>
      <c r="G782" s="39" t="s">
        <v>1331</v>
      </c>
    </row>
    <row r="783" spans="1:7">
      <c r="A783" s="1">
        <v>782</v>
      </c>
      <c r="B783" s="3" t="s">
        <v>2277</v>
      </c>
      <c r="C783" s="1" t="s">
        <v>1206</v>
      </c>
      <c r="D783" t="s">
        <v>2278</v>
      </c>
      <c r="E783" t="str">
        <f t="shared" si="25"/>
        <v>ROD-SF-head-160</v>
      </c>
      <c r="F783" s="10" t="s">
        <v>35</v>
      </c>
      <c r="G783" s="39" t="s">
        <v>1331</v>
      </c>
    </row>
    <row r="784" spans="1:7">
      <c r="A784" s="1">
        <v>783</v>
      </c>
      <c r="B784" s="3" t="s">
        <v>2279</v>
      </c>
      <c r="C784" s="1" t="s">
        <v>1206</v>
      </c>
      <c r="D784" t="s">
        <v>2280</v>
      </c>
      <c r="E784" t="str">
        <f t="shared" si="25"/>
        <v>ROD-SF-head-161</v>
      </c>
      <c r="F784" s="10" t="s">
        <v>35</v>
      </c>
      <c r="G784" s="39" t="s">
        <v>1331</v>
      </c>
    </row>
    <row r="785" spans="1:7">
      <c r="A785" s="1">
        <v>784</v>
      </c>
      <c r="B785" s="3" t="s">
        <v>2281</v>
      </c>
      <c r="C785" s="1" t="s">
        <v>1206</v>
      </c>
      <c r="D785" t="s">
        <v>2282</v>
      </c>
      <c r="E785" t="str">
        <f t="shared" si="25"/>
        <v>ROD-SF-head-162</v>
      </c>
      <c r="F785" s="10" t="s">
        <v>35</v>
      </c>
      <c r="G785" s="39" t="s">
        <v>1331</v>
      </c>
    </row>
    <row r="786" spans="1:7">
      <c r="A786" s="1">
        <v>785</v>
      </c>
      <c r="B786" s="3" t="s">
        <v>2283</v>
      </c>
      <c r="C786" s="1" t="s">
        <v>1206</v>
      </c>
      <c r="D786" t="s">
        <v>2284</v>
      </c>
      <c r="E786" t="str">
        <f t="shared" si="25"/>
        <v>ROD-SF-head-163</v>
      </c>
      <c r="F786" s="10" t="s">
        <v>35</v>
      </c>
      <c r="G786" s="39" t="s">
        <v>1331</v>
      </c>
    </row>
    <row r="787" spans="1:7">
      <c r="A787" s="1">
        <v>786</v>
      </c>
      <c r="B787" s="3" t="s">
        <v>2285</v>
      </c>
      <c r="C787" s="1" t="s">
        <v>1206</v>
      </c>
      <c r="D787" t="s">
        <v>2286</v>
      </c>
      <c r="E787" t="str">
        <f t="shared" si="25"/>
        <v>ROD-SF-head-164</v>
      </c>
      <c r="F787" s="10" t="s">
        <v>35</v>
      </c>
      <c r="G787" s="39" t="s">
        <v>1331</v>
      </c>
    </row>
    <row r="788" spans="1:7">
      <c r="A788" s="1">
        <v>787</v>
      </c>
      <c r="B788" s="3" t="s">
        <v>2287</v>
      </c>
      <c r="C788" s="1" t="s">
        <v>1206</v>
      </c>
      <c r="D788" t="s">
        <v>2288</v>
      </c>
      <c r="E788" t="str">
        <f t="shared" si="25"/>
        <v>ROD-SF-head-165</v>
      </c>
      <c r="F788" s="10" t="s">
        <v>35</v>
      </c>
      <c r="G788" s="39" t="s">
        <v>1331</v>
      </c>
    </row>
    <row r="789" spans="1:7">
      <c r="A789" s="1">
        <v>788</v>
      </c>
      <c r="B789" s="3" t="s">
        <v>2289</v>
      </c>
      <c r="C789" s="1" t="s">
        <v>1206</v>
      </c>
      <c r="D789" t="s">
        <v>2290</v>
      </c>
      <c r="E789" t="str">
        <f t="shared" si="25"/>
        <v>ROD-SF-head-166</v>
      </c>
      <c r="F789" s="10" t="s">
        <v>35</v>
      </c>
      <c r="G789" s="39" t="s">
        <v>1331</v>
      </c>
    </row>
    <row r="790" spans="1:7">
      <c r="A790" s="1">
        <v>789</v>
      </c>
      <c r="B790" s="3" t="s">
        <v>2291</v>
      </c>
      <c r="C790" s="1" t="s">
        <v>1206</v>
      </c>
      <c r="D790" t="s">
        <v>2292</v>
      </c>
      <c r="E790" t="str">
        <f t="shared" si="25"/>
        <v>ROD-SF-head-167</v>
      </c>
      <c r="F790" s="10" t="s">
        <v>35</v>
      </c>
      <c r="G790" s="39" t="s">
        <v>1331</v>
      </c>
    </row>
    <row r="791" spans="1:7">
      <c r="A791" s="1">
        <v>790</v>
      </c>
      <c r="B791" s="3" t="s">
        <v>2293</v>
      </c>
      <c r="C791" s="1" t="s">
        <v>1206</v>
      </c>
      <c r="D791" t="s">
        <v>2294</v>
      </c>
      <c r="E791" t="str">
        <f t="shared" si="25"/>
        <v>ROD-SF-head-168</v>
      </c>
      <c r="F791" s="10" t="s">
        <v>35</v>
      </c>
      <c r="G791" s="39" t="s">
        <v>1331</v>
      </c>
    </row>
    <row r="792" spans="1:7">
      <c r="A792" s="1">
        <v>791</v>
      </c>
      <c r="B792" s="3" t="s">
        <v>2295</v>
      </c>
      <c r="C792" s="1" t="s">
        <v>1206</v>
      </c>
      <c r="D792" t="s">
        <v>2296</v>
      </c>
      <c r="E792" t="str">
        <f t="shared" si="25"/>
        <v>ROD-SF-head-169</v>
      </c>
      <c r="F792" s="10" t="s">
        <v>35</v>
      </c>
      <c r="G792" s="39" t="s">
        <v>1331</v>
      </c>
    </row>
    <row r="793" spans="1:7">
      <c r="A793" s="1">
        <v>792</v>
      </c>
      <c r="B793" s="3" t="s">
        <v>2297</v>
      </c>
      <c r="C793" s="1" t="s">
        <v>1206</v>
      </c>
      <c r="D793" t="s">
        <v>2298</v>
      </c>
      <c r="E793" t="str">
        <f t="shared" si="25"/>
        <v>ROD-SF-head-170</v>
      </c>
      <c r="F793" s="10" t="s">
        <v>35</v>
      </c>
      <c r="G793" s="39" t="s">
        <v>1331</v>
      </c>
    </row>
    <row r="794" spans="1:7">
      <c r="A794" s="1">
        <v>793</v>
      </c>
      <c r="B794" s="3" t="s">
        <v>2299</v>
      </c>
      <c r="C794" s="1" t="s">
        <v>1206</v>
      </c>
      <c r="D794" t="s">
        <v>2300</v>
      </c>
      <c r="E794" t="str">
        <f t="shared" si="25"/>
        <v>ROD-SF-head-171</v>
      </c>
      <c r="F794" s="10" t="s">
        <v>35</v>
      </c>
      <c r="G794" s="39" t="s">
        <v>1331</v>
      </c>
    </row>
    <row r="795" spans="1:7">
      <c r="A795" s="1">
        <v>794</v>
      </c>
      <c r="B795" s="3" t="s">
        <v>2301</v>
      </c>
      <c r="C795" s="1" t="s">
        <v>1206</v>
      </c>
      <c r="D795" t="s">
        <v>2302</v>
      </c>
      <c r="E795" t="str">
        <f t="shared" si="25"/>
        <v>ROD-SF-head-172</v>
      </c>
      <c r="F795" s="10" t="s">
        <v>35</v>
      </c>
      <c r="G795" s="39" t="s">
        <v>1331</v>
      </c>
    </row>
    <row r="796" spans="1:7">
      <c r="A796" s="1">
        <v>795</v>
      </c>
      <c r="B796" s="3" t="s">
        <v>2303</v>
      </c>
      <c r="C796" s="1" t="s">
        <v>1206</v>
      </c>
      <c r="D796" t="s">
        <v>2304</v>
      </c>
      <c r="E796" t="str">
        <f t="shared" si="25"/>
        <v>ROD-SF-head-173</v>
      </c>
      <c r="F796" s="10" t="s">
        <v>35</v>
      </c>
      <c r="G796" s="39" t="s">
        <v>1331</v>
      </c>
    </row>
    <row r="797" spans="1:7">
      <c r="A797" s="1">
        <v>796</v>
      </c>
      <c r="B797" s="3" t="s">
        <v>2305</v>
      </c>
      <c r="C797" s="1" t="s">
        <v>1206</v>
      </c>
      <c r="D797" t="s">
        <v>2306</v>
      </c>
      <c r="E797" t="str">
        <f t="shared" si="25"/>
        <v>ROD-SF-head-174</v>
      </c>
      <c r="F797" s="10" t="s">
        <v>35</v>
      </c>
      <c r="G797" s="39" t="s">
        <v>1331</v>
      </c>
    </row>
    <row r="798" spans="1:7">
      <c r="A798" s="1">
        <v>797</v>
      </c>
      <c r="B798" s="3" t="s">
        <v>2307</v>
      </c>
      <c r="C798" s="1" t="s">
        <v>1206</v>
      </c>
      <c r="D798" t="s">
        <v>2308</v>
      </c>
      <c r="E798" t="str">
        <f t="shared" si="25"/>
        <v>ROD-SF-head-175</v>
      </c>
      <c r="F798" s="10" t="s">
        <v>35</v>
      </c>
      <c r="G798" s="39" t="s">
        <v>1331</v>
      </c>
    </row>
    <row r="799" spans="1:7" ht="15.75">
      <c r="A799" s="1">
        <v>798</v>
      </c>
      <c r="B799" s="3" t="s">
        <v>2309</v>
      </c>
      <c r="C799" s="1" t="s">
        <v>1206</v>
      </c>
      <c r="D799" t="s">
        <v>2310</v>
      </c>
      <c r="E799" t="str">
        <f t="shared" si="25"/>
        <v>ROD-SF-head-176</v>
      </c>
      <c r="F799" s="10" t="s">
        <v>35</v>
      </c>
      <c r="G799" s="10" t="s">
        <v>2311</v>
      </c>
    </row>
    <row r="800" spans="1:7">
      <c r="A800" s="1">
        <v>799</v>
      </c>
      <c r="B800" s="3" t="s">
        <v>2312</v>
      </c>
      <c r="C800" s="1" t="s">
        <v>1206</v>
      </c>
      <c r="D800" t="s">
        <v>2313</v>
      </c>
      <c r="E800" t="str">
        <f t="shared" si="25"/>
        <v>ROD-SF-head-177</v>
      </c>
      <c r="F800" s="10" t="s">
        <v>35</v>
      </c>
      <c r="G800" s="39" t="s">
        <v>1331</v>
      </c>
    </row>
    <row r="801" spans="1:7">
      <c r="A801" s="1">
        <v>800</v>
      </c>
      <c r="B801" s="3" t="s">
        <v>2314</v>
      </c>
      <c r="C801" s="1" t="s">
        <v>1206</v>
      </c>
      <c r="D801" t="s">
        <v>2315</v>
      </c>
      <c r="E801" t="str">
        <f t="shared" si="25"/>
        <v>ROD-SF-head-178</v>
      </c>
      <c r="F801" s="10" t="s">
        <v>35</v>
      </c>
      <c r="G801" s="39" t="s">
        <v>1331</v>
      </c>
    </row>
    <row r="802" spans="1:7">
      <c r="A802" s="1">
        <v>801</v>
      </c>
      <c r="B802" s="3" t="s">
        <v>2316</v>
      </c>
      <c r="C802" s="1" t="s">
        <v>1206</v>
      </c>
      <c r="D802" t="s">
        <v>2317</v>
      </c>
      <c r="E802" t="str">
        <f t="shared" si="25"/>
        <v>ROD-SF-head-179</v>
      </c>
      <c r="F802" s="10" t="s">
        <v>35</v>
      </c>
      <c r="G802" s="39" t="s">
        <v>1331</v>
      </c>
    </row>
    <row r="803" spans="1:7">
      <c r="A803" s="1">
        <v>802</v>
      </c>
      <c r="B803" s="3" t="s">
        <v>2318</v>
      </c>
      <c r="C803" s="1" t="s">
        <v>1206</v>
      </c>
      <c r="D803" t="s">
        <v>2319</v>
      </c>
      <c r="E803" t="str">
        <f t="shared" si="25"/>
        <v>ROD-SF-head-180</v>
      </c>
      <c r="F803" s="10" t="s">
        <v>35</v>
      </c>
      <c r="G803" s="39" t="s">
        <v>1331</v>
      </c>
    </row>
    <row r="804" spans="1:7">
      <c r="A804" s="1">
        <v>803</v>
      </c>
      <c r="B804" s="3" t="s">
        <v>2320</v>
      </c>
      <c r="C804" s="1" t="s">
        <v>1206</v>
      </c>
      <c r="D804" t="s">
        <v>2321</v>
      </c>
      <c r="E804" t="str">
        <f t="shared" si="25"/>
        <v>ROD-SF-head-181</v>
      </c>
      <c r="F804" s="10" t="s">
        <v>35</v>
      </c>
      <c r="G804" s="39" t="s">
        <v>1331</v>
      </c>
    </row>
    <row r="805" spans="1:7">
      <c r="A805" s="1">
        <v>804</v>
      </c>
      <c r="B805" s="3" t="s">
        <v>2322</v>
      </c>
      <c r="C805" s="1" t="s">
        <v>1206</v>
      </c>
      <c r="D805" t="s">
        <v>2323</v>
      </c>
      <c r="E805" t="str">
        <f t="shared" si="25"/>
        <v>ROD-SF-head-182</v>
      </c>
      <c r="F805" s="10" t="s">
        <v>35</v>
      </c>
      <c r="G805" s="39" t="s">
        <v>1331</v>
      </c>
    </row>
    <row r="806" spans="1:7">
      <c r="A806" s="1">
        <v>805</v>
      </c>
      <c r="B806" s="3" t="s">
        <v>2324</v>
      </c>
      <c r="C806" s="1" t="s">
        <v>1206</v>
      </c>
      <c r="D806" t="s">
        <v>2325</v>
      </c>
      <c r="E806" t="str">
        <f t="shared" si="25"/>
        <v>ROD-SF-head-183</v>
      </c>
      <c r="F806" s="10" t="s">
        <v>35</v>
      </c>
      <c r="G806" s="39" t="s">
        <v>1331</v>
      </c>
    </row>
    <row r="807" spans="1:7">
      <c r="A807" s="1">
        <v>806</v>
      </c>
      <c r="B807" s="3" t="s">
        <v>2326</v>
      </c>
      <c r="C807" s="1" t="s">
        <v>1206</v>
      </c>
      <c r="D807" t="s">
        <v>2327</v>
      </c>
      <c r="E807" t="str">
        <f t="shared" si="25"/>
        <v>ROD-SF-head-184</v>
      </c>
      <c r="F807" s="10" t="s">
        <v>35</v>
      </c>
      <c r="G807" s="39" t="s">
        <v>1331</v>
      </c>
    </row>
    <row r="808" spans="1:7">
      <c r="A808" s="1">
        <v>807</v>
      </c>
      <c r="B808" s="3" t="s">
        <v>2328</v>
      </c>
      <c r="C808" s="1" t="s">
        <v>1206</v>
      </c>
      <c r="D808" t="s">
        <v>2329</v>
      </c>
      <c r="E808" t="str">
        <f t="shared" si="25"/>
        <v>ROD-SF-head-185</v>
      </c>
      <c r="F808" s="10" t="s">
        <v>35</v>
      </c>
      <c r="G808" s="39" t="s">
        <v>1331</v>
      </c>
    </row>
    <row r="809" spans="1:7">
      <c r="A809" s="1">
        <v>808</v>
      </c>
      <c r="B809" s="3" t="s">
        <v>2330</v>
      </c>
      <c r="C809" s="1" t="s">
        <v>1206</v>
      </c>
      <c r="D809" t="s">
        <v>2331</v>
      </c>
      <c r="E809" t="str">
        <f t="shared" si="25"/>
        <v>ROD-SF-head-186</v>
      </c>
      <c r="F809" s="10" t="s">
        <v>35</v>
      </c>
      <c r="G809" s="39" t="s">
        <v>1331</v>
      </c>
    </row>
    <row r="810" spans="1:7">
      <c r="A810" s="1">
        <v>809</v>
      </c>
      <c r="B810" s="3" t="s">
        <v>2332</v>
      </c>
      <c r="C810" s="1" t="s">
        <v>1206</v>
      </c>
      <c r="D810" t="s">
        <v>2333</v>
      </c>
      <c r="E810" t="str">
        <f t="shared" si="25"/>
        <v>ROD-SF-head-187</v>
      </c>
      <c r="F810" s="10" t="s">
        <v>35</v>
      </c>
      <c r="G810" s="39" t="s">
        <v>1331</v>
      </c>
    </row>
    <row r="811" spans="1:7">
      <c r="A811" s="1">
        <v>810</v>
      </c>
      <c r="B811" s="3" t="s">
        <v>2334</v>
      </c>
      <c r="C811" s="1" t="s">
        <v>1206</v>
      </c>
      <c r="D811" t="s">
        <v>2335</v>
      </c>
      <c r="E811" t="str">
        <f t="shared" si="25"/>
        <v>ROD-SF-head-188</v>
      </c>
      <c r="F811" s="10" t="s">
        <v>35</v>
      </c>
      <c r="G811" s="39" t="s">
        <v>1331</v>
      </c>
    </row>
    <row r="812" spans="1:7">
      <c r="A812" s="1">
        <v>811</v>
      </c>
      <c r="B812" s="3" t="s">
        <v>2336</v>
      </c>
      <c r="C812" s="1" t="s">
        <v>1206</v>
      </c>
      <c r="D812" t="s">
        <v>2337</v>
      </c>
      <c r="E812" t="str">
        <f t="shared" si="25"/>
        <v>ROD-SF-head-189</v>
      </c>
      <c r="F812" s="10" t="s">
        <v>35</v>
      </c>
      <c r="G812" s="39" t="s">
        <v>1331</v>
      </c>
    </row>
    <row r="813" spans="1:7">
      <c r="A813" s="1">
        <v>812</v>
      </c>
      <c r="B813" s="3" t="s">
        <v>2338</v>
      </c>
      <c r="C813" s="1" t="s">
        <v>1206</v>
      </c>
      <c r="D813" t="s">
        <v>2339</v>
      </c>
      <c r="E813" t="str">
        <f t="shared" si="25"/>
        <v>ROD-SF-head-190</v>
      </c>
      <c r="F813" s="10" t="s">
        <v>35</v>
      </c>
      <c r="G813" s="39" t="s">
        <v>1331</v>
      </c>
    </row>
    <row r="814" spans="1:7">
      <c r="A814" s="1">
        <v>813</v>
      </c>
      <c r="B814" s="3" t="s">
        <v>2340</v>
      </c>
      <c r="C814" s="1" t="s">
        <v>1206</v>
      </c>
      <c r="D814" t="s">
        <v>2341</v>
      </c>
      <c r="E814" t="str">
        <f t="shared" si="25"/>
        <v>ROD-SF-head-191</v>
      </c>
      <c r="F814" s="10" t="s">
        <v>35</v>
      </c>
      <c r="G814" s="39" t="s">
        <v>1331</v>
      </c>
    </row>
    <row r="815" spans="1:7">
      <c r="A815" s="1">
        <v>814</v>
      </c>
      <c r="B815" s="3" t="s">
        <v>2342</v>
      </c>
      <c r="C815" s="1" t="s">
        <v>1206</v>
      </c>
      <c r="D815" t="s">
        <v>2343</v>
      </c>
      <c r="E815" t="str">
        <f t="shared" si="25"/>
        <v>ROD-SF-head-192</v>
      </c>
      <c r="F815" s="10" t="s">
        <v>35</v>
      </c>
      <c r="G815" s="39" t="s">
        <v>1331</v>
      </c>
    </row>
    <row r="816" spans="1:7">
      <c r="A816" s="1">
        <v>815</v>
      </c>
      <c r="B816" s="3" t="s">
        <v>2344</v>
      </c>
      <c r="C816" s="1" t="s">
        <v>1206</v>
      </c>
      <c r="D816" t="s">
        <v>2345</v>
      </c>
      <c r="E816" t="str">
        <f t="shared" si="25"/>
        <v>ROD-SF-head-193</v>
      </c>
      <c r="F816" s="10" t="s">
        <v>35</v>
      </c>
      <c r="G816" s="39" t="s">
        <v>1331</v>
      </c>
    </row>
    <row r="817" spans="1:7">
      <c r="A817" s="1">
        <v>816</v>
      </c>
      <c r="B817" s="3" t="s">
        <v>2346</v>
      </c>
      <c r="C817" s="1" t="s">
        <v>1206</v>
      </c>
      <c r="D817" t="s">
        <v>2347</v>
      </c>
      <c r="E817" t="str">
        <f t="shared" si="25"/>
        <v>ROD-SF-head-194</v>
      </c>
      <c r="F817" s="10" t="s">
        <v>35</v>
      </c>
      <c r="G817" s="39" t="s">
        <v>1331</v>
      </c>
    </row>
    <row r="818" spans="1:7">
      <c r="A818" s="1">
        <v>817</v>
      </c>
      <c r="B818" s="3" t="s">
        <v>2348</v>
      </c>
      <c r="C818" s="1" t="s">
        <v>1206</v>
      </c>
      <c r="D818" t="s">
        <v>2349</v>
      </c>
      <c r="E818" t="str">
        <f t="shared" si="25"/>
        <v>ROD-SF-head-195</v>
      </c>
      <c r="F818" s="10" t="s">
        <v>35</v>
      </c>
      <c r="G818" s="39" t="s">
        <v>1331</v>
      </c>
    </row>
    <row r="819" spans="1:7">
      <c r="A819" s="1">
        <v>818</v>
      </c>
      <c r="B819" s="3" t="s">
        <v>2350</v>
      </c>
      <c r="C819" s="1" t="s">
        <v>1206</v>
      </c>
      <c r="D819" t="s">
        <v>2351</v>
      </c>
      <c r="E819" t="str">
        <f t="shared" si="25"/>
        <v>ROD-SF-head-196</v>
      </c>
      <c r="F819" s="10" t="s">
        <v>35</v>
      </c>
      <c r="G819" s="39" t="s">
        <v>1331</v>
      </c>
    </row>
    <row r="820" spans="1:7">
      <c r="A820" s="1">
        <v>819</v>
      </c>
      <c r="B820" s="3" t="s">
        <v>2352</v>
      </c>
      <c r="C820" s="1" t="s">
        <v>1206</v>
      </c>
      <c r="D820" t="s">
        <v>2353</v>
      </c>
      <c r="E820" t="str">
        <f t="shared" si="25"/>
        <v>ROD-SF-head-197</v>
      </c>
      <c r="F820" s="10" t="s">
        <v>35</v>
      </c>
      <c r="G820" s="39" t="s">
        <v>1331</v>
      </c>
    </row>
    <row r="821" spans="1:7">
      <c r="A821" s="1">
        <v>820</v>
      </c>
      <c r="B821" s="3" t="s">
        <v>2354</v>
      </c>
      <c r="C821" s="1" t="s">
        <v>1206</v>
      </c>
      <c r="D821" t="s">
        <v>2355</v>
      </c>
      <c r="E821" t="str">
        <f t="shared" si="25"/>
        <v>ROD-SF-head-198</v>
      </c>
      <c r="F821" s="10" t="s">
        <v>35</v>
      </c>
      <c r="G821" s="39" t="s">
        <v>1331</v>
      </c>
    </row>
    <row r="822" spans="1:7">
      <c r="A822" s="1">
        <v>821</v>
      </c>
      <c r="B822" s="3" t="s">
        <v>2356</v>
      </c>
      <c r="C822" s="1" t="s">
        <v>1206</v>
      </c>
      <c r="D822" t="s">
        <v>2357</v>
      </c>
      <c r="E822" t="str">
        <f t="shared" si="25"/>
        <v>ROD-SF-head-199</v>
      </c>
      <c r="F822" s="10" t="s">
        <v>35</v>
      </c>
      <c r="G822" s="39" t="s">
        <v>1331</v>
      </c>
    </row>
    <row r="823" spans="1:7">
      <c r="A823" s="1">
        <v>822</v>
      </c>
      <c r="B823" s="3" t="s">
        <v>2358</v>
      </c>
      <c r="C823" s="1" t="s">
        <v>1206</v>
      </c>
      <c r="D823" t="s">
        <v>2359</v>
      </c>
      <c r="E823" t="str">
        <f t="shared" si="25"/>
        <v>ROD-SF-head-200</v>
      </c>
      <c r="F823" s="10" t="s">
        <v>35</v>
      </c>
      <c r="G823" s="39" t="s">
        <v>1331</v>
      </c>
    </row>
    <row r="824" spans="1:7">
      <c r="A824" s="1">
        <v>823</v>
      </c>
      <c r="B824" s="3" t="s">
        <v>2360</v>
      </c>
      <c r="C824" s="1" t="s">
        <v>1206</v>
      </c>
      <c r="D824" t="s">
        <v>2361</v>
      </c>
      <c r="E824" t="str">
        <f t="shared" si="25"/>
        <v>ROD-SF-head-201</v>
      </c>
      <c r="F824" s="10" t="s">
        <v>35</v>
      </c>
      <c r="G824" s="39" t="s">
        <v>1331</v>
      </c>
    </row>
    <row r="825" spans="1:7">
      <c r="A825" s="1">
        <v>824</v>
      </c>
      <c r="B825" s="3" t="s">
        <v>2362</v>
      </c>
      <c r="C825" s="1" t="s">
        <v>1206</v>
      </c>
      <c r="D825" t="s">
        <v>2363</v>
      </c>
      <c r="E825" t="str">
        <f t="shared" ref="E825:E888" si="26">C825&amp;D825</f>
        <v>ROD-SF-head-202</v>
      </c>
      <c r="F825" s="10" t="s">
        <v>35</v>
      </c>
      <c r="G825" s="39" t="s">
        <v>1331</v>
      </c>
    </row>
    <row r="826" spans="1:7">
      <c r="A826" s="1">
        <v>825</v>
      </c>
      <c r="B826" s="3" t="s">
        <v>2364</v>
      </c>
      <c r="C826" s="1" t="s">
        <v>1206</v>
      </c>
      <c r="D826" t="s">
        <v>2365</v>
      </c>
      <c r="E826" t="str">
        <f t="shared" si="26"/>
        <v>ROD-SF-head-203</v>
      </c>
      <c r="F826" s="10" t="s">
        <v>35</v>
      </c>
      <c r="G826" s="39" t="s">
        <v>1331</v>
      </c>
    </row>
    <row r="827" spans="1:7">
      <c r="A827" s="1">
        <v>826</v>
      </c>
      <c r="B827" s="3" t="s">
        <v>2366</v>
      </c>
      <c r="C827" s="1" t="s">
        <v>1206</v>
      </c>
      <c r="D827" t="s">
        <v>2367</v>
      </c>
      <c r="E827" t="str">
        <f t="shared" si="26"/>
        <v>ROD-SF-head-204</v>
      </c>
      <c r="F827" s="10" t="s">
        <v>35</v>
      </c>
      <c r="G827" s="39" t="s">
        <v>1331</v>
      </c>
    </row>
    <row r="828" spans="1:7">
      <c r="A828" s="1">
        <v>827</v>
      </c>
      <c r="B828" s="3" t="s">
        <v>2368</v>
      </c>
      <c r="C828" s="1" t="s">
        <v>1206</v>
      </c>
      <c r="D828" t="s">
        <v>2369</v>
      </c>
      <c r="E828" t="str">
        <f t="shared" si="26"/>
        <v>ROD-SF-head-205</v>
      </c>
      <c r="F828" s="10" t="s">
        <v>35</v>
      </c>
      <c r="G828" s="39" t="s">
        <v>1331</v>
      </c>
    </row>
    <row r="829" spans="1:7">
      <c r="A829" s="1">
        <v>828</v>
      </c>
      <c r="B829" s="3" t="s">
        <v>2370</v>
      </c>
      <c r="C829" s="1" t="s">
        <v>1206</v>
      </c>
      <c r="D829" t="s">
        <v>2371</v>
      </c>
      <c r="E829" t="str">
        <f t="shared" si="26"/>
        <v>ROD-SF-head-206</v>
      </c>
      <c r="F829" s="10" t="s">
        <v>35</v>
      </c>
      <c r="G829" s="39" t="s">
        <v>1331</v>
      </c>
    </row>
    <row r="830" spans="1:7">
      <c r="A830" s="1">
        <v>829</v>
      </c>
      <c r="B830" s="3" t="s">
        <v>2372</v>
      </c>
      <c r="C830" s="1" t="s">
        <v>1206</v>
      </c>
      <c r="D830" t="s">
        <v>2373</v>
      </c>
      <c r="E830" t="str">
        <f t="shared" si="26"/>
        <v>ROD-SF-head-207</v>
      </c>
      <c r="F830" s="10" t="s">
        <v>35</v>
      </c>
      <c r="G830" s="39" t="s">
        <v>1331</v>
      </c>
    </row>
    <row r="831" spans="1:7">
      <c r="A831" s="1">
        <v>830</v>
      </c>
      <c r="B831" s="3" t="s">
        <v>2374</v>
      </c>
      <c r="C831" s="1" t="s">
        <v>1206</v>
      </c>
      <c r="D831" t="s">
        <v>2375</v>
      </c>
      <c r="E831" t="str">
        <f t="shared" si="26"/>
        <v>ROD-SF-head-208</v>
      </c>
      <c r="F831" s="10" t="s">
        <v>35</v>
      </c>
      <c r="G831" s="39" t="s">
        <v>1331</v>
      </c>
    </row>
    <row r="832" spans="1:7">
      <c r="A832" s="1">
        <v>831</v>
      </c>
      <c r="B832" s="3" t="s">
        <v>2376</v>
      </c>
      <c r="C832" s="1" t="s">
        <v>1206</v>
      </c>
      <c r="D832" t="s">
        <v>2377</v>
      </c>
      <c r="E832" t="str">
        <f t="shared" si="26"/>
        <v>ROD-SF-head-209</v>
      </c>
      <c r="F832" s="10" t="s">
        <v>35</v>
      </c>
      <c r="G832" s="39" t="s">
        <v>1331</v>
      </c>
    </row>
    <row r="833" spans="1:7">
      <c r="A833" s="1">
        <v>832</v>
      </c>
      <c r="B833" s="3" t="s">
        <v>2378</v>
      </c>
      <c r="C833" s="1" t="s">
        <v>1206</v>
      </c>
      <c r="D833" t="s">
        <v>2379</v>
      </c>
      <c r="E833" t="str">
        <f t="shared" si="26"/>
        <v>ROD-SF-head-210</v>
      </c>
      <c r="F833" s="10" t="s">
        <v>26</v>
      </c>
      <c r="G833" s="39" t="s">
        <v>1331</v>
      </c>
    </row>
    <row r="834" spans="1:7">
      <c r="A834" s="1">
        <v>833</v>
      </c>
      <c r="B834" s="3" t="s">
        <v>2380</v>
      </c>
      <c r="C834" s="1" t="s">
        <v>1206</v>
      </c>
      <c r="D834" t="s">
        <v>2381</v>
      </c>
      <c r="E834" t="str">
        <f t="shared" si="26"/>
        <v>ROD-SF-head-211</v>
      </c>
      <c r="F834" s="10" t="s">
        <v>35</v>
      </c>
      <c r="G834" s="39" t="s">
        <v>1331</v>
      </c>
    </row>
    <row r="835" spans="1:7">
      <c r="A835" s="1">
        <v>834</v>
      </c>
      <c r="B835" s="3" t="s">
        <v>2382</v>
      </c>
      <c r="C835" s="1" t="s">
        <v>1206</v>
      </c>
      <c r="D835" t="s">
        <v>2383</v>
      </c>
      <c r="E835" t="str">
        <f t="shared" si="26"/>
        <v>ROD-SF-head-212</v>
      </c>
      <c r="F835" s="10" t="s">
        <v>35</v>
      </c>
      <c r="G835" s="39" t="s">
        <v>1331</v>
      </c>
    </row>
    <row r="836" spans="1:7">
      <c r="A836" s="1">
        <v>835</v>
      </c>
      <c r="B836" s="3" t="s">
        <v>2384</v>
      </c>
      <c r="C836" s="1" t="s">
        <v>1206</v>
      </c>
      <c r="D836" t="s">
        <v>2385</v>
      </c>
      <c r="E836" t="str">
        <f t="shared" si="26"/>
        <v>ROD-SF-head-213</v>
      </c>
      <c r="F836" s="10" t="s">
        <v>35</v>
      </c>
      <c r="G836" s="39" t="s">
        <v>1331</v>
      </c>
    </row>
    <row r="837" spans="1:7">
      <c r="A837" s="1">
        <v>836</v>
      </c>
      <c r="B837" s="3" t="s">
        <v>2386</v>
      </c>
      <c r="C837" s="1" t="s">
        <v>1206</v>
      </c>
      <c r="D837" t="s">
        <v>2387</v>
      </c>
      <c r="E837" t="str">
        <f t="shared" si="26"/>
        <v>ROD-SF-head-214</v>
      </c>
      <c r="F837" s="10" t="s">
        <v>35</v>
      </c>
      <c r="G837" s="39" t="s">
        <v>1331</v>
      </c>
    </row>
    <row r="838" spans="1:7">
      <c r="A838" s="1">
        <v>837</v>
      </c>
      <c r="B838" s="3" t="s">
        <v>2388</v>
      </c>
      <c r="C838" s="1" t="s">
        <v>1206</v>
      </c>
      <c r="D838" t="s">
        <v>2389</v>
      </c>
      <c r="E838" t="str">
        <f t="shared" si="26"/>
        <v>ROD-SF-head-215</v>
      </c>
      <c r="F838" s="10" t="s">
        <v>35</v>
      </c>
      <c r="G838" s="39" t="s">
        <v>1331</v>
      </c>
    </row>
    <row r="839" spans="1:7">
      <c r="A839" s="1">
        <v>838</v>
      </c>
      <c r="B839" s="3" t="s">
        <v>2390</v>
      </c>
      <c r="C839" s="1" t="s">
        <v>1206</v>
      </c>
      <c r="D839" t="s">
        <v>2391</v>
      </c>
      <c r="E839" t="str">
        <f t="shared" si="26"/>
        <v>ROD-SF-head-216</v>
      </c>
      <c r="F839" s="10" t="s">
        <v>35</v>
      </c>
      <c r="G839" s="39" t="s">
        <v>1331</v>
      </c>
    </row>
    <row r="840" spans="1:7">
      <c r="A840" s="1">
        <v>839</v>
      </c>
      <c r="B840" s="3" t="s">
        <v>2392</v>
      </c>
      <c r="C840" s="1" t="s">
        <v>1206</v>
      </c>
      <c r="D840" t="s">
        <v>2393</v>
      </c>
      <c r="E840" t="str">
        <f t="shared" si="26"/>
        <v>ROD-SF-head-217</v>
      </c>
      <c r="F840" s="10" t="s">
        <v>35</v>
      </c>
      <c r="G840" s="39" t="s">
        <v>1331</v>
      </c>
    </row>
    <row r="841" spans="1:7">
      <c r="A841" s="1">
        <v>840</v>
      </c>
      <c r="B841" s="3" t="s">
        <v>2394</v>
      </c>
      <c r="C841" s="1" t="s">
        <v>1206</v>
      </c>
      <c r="D841" t="s">
        <v>2395</v>
      </c>
      <c r="E841" t="str">
        <f t="shared" si="26"/>
        <v>ROD-SF-head-218</v>
      </c>
      <c r="F841" s="10" t="s">
        <v>26</v>
      </c>
      <c r="G841" s="39" t="s">
        <v>1331</v>
      </c>
    </row>
    <row r="842" spans="1:7">
      <c r="A842" s="1">
        <v>841</v>
      </c>
      <c r="B842" s="3" t="s">
        <v>2396</v>
      </c>
      <c r="C842" s="1" t="s">
        <v>1206</v>
      </c>
      <c r="D842" t="s">
        <v>2397</v>
      </c>
      <c r="E842" t="str">
        <f t="shared" si="26"/>
        <v>ROD-SF-head-219</v>
      </c>
      <c r="F842" s="10" t="s">
        <v>14</v>
      </c>
      <c r="G842" s="39" t="s">
        <v>1331</v>
      </c>
    </row>
    <row r="843" spans="1:7">
      <c r="A843" s="1">
        <v>842</v>
      </c>
      <c r="B843" s="3" t="s">
        <v>2398</v>
      </c>
      <c r="C843" s="1" t="s">
        <v>1206</v>
      </c>
      <c r="D843" t="s">
        <v>2399</v>
      </c>
      <c r="E843" t="str">
        <f t="shared" si="26"/>
        <v>ROD-SF-head-220</v>
      </c>
      <c r="F843" s="10" t="s">
        <v>26</v>
      </c>
      <c r="G843" s="39" t="s">
        <v>1331</v>
      </c>
    </row>
    <row r="844" spans="1:7">
      <c r="A844" s="1">
        <v>843</v>
      </c>
      <c r="B844" s="3" t="s">
        <v>2400</v>
      </c>
      <c r="C844" s="1" t="s">
        <v>1206</v>
      </c>
      <c r="D844" t="s">
        <v>2401</v>
      </c>
      <c r="E844" t="str">
        <f t="shared" si="26"/>
        <v>ROD-SF-head-221</v>
      </c>
      <c r="F844" s="10" t="s">
        <v>35</v>
      </c>
      <c r="G844" s="39" t="s">
        <v>1331</v>
      </c>
    </row>
    <row r="845" spans="1:7">
      <c r="A845" s="1">
        <v>844</v>
      </c>
      <c r="B845" s="3" t="s">
        <v>2402</v>
      </c>
      <c r="C845" s="1" t="s">
        <v>1206</v>
      </c>
      <c r="D845" t="s">
        <v>2403</v>
      </c>
      <c r="E845" t="str">
        <f t="shared" si="26"/>
        <v>ROD-SF-head-222</v>
      </c>
      <c r="F845" s="10" t="s">
        <v>35</v>
      </c>
      <c r="G845" s="39" t="s">
        <v>1331</v>
      </c>
    </row>
    <row r="846" spans="1:7">
      <c r="A846" s="1">
        <v>845</v>
      </c>
      <c r="B846" s="3" t="s">
        <v>2404</v>
      </c>
      <c r="C846" s="1" t="s">
        <v>1206</v>
      </c>
      <c r="D846" t="s">
        <v>2405</v>
      </c>
      <c r="E846" t="str">
        <f t="shared" si="26"/>
        <v>ROD-SF-head-223</v>
      </c>
      <c r="F846" s="10" t="s">
        <v>35</v>
      </c>
      <c r="G846" s="39" t="s">
        <v>1331</v>
      </c>
    </row>
    <row r="847" spans="1:7">
      <c r="A847" s="1">
        <v>846</v>
      </c>
      <c r="B847" s="3" t="s">
        <v>2406</v>
      </c>
      <c r="C847" s="1" t="s">
        <v>1206</v>
      </c>
      <c r="D847" t="s">
        <v>2407</v>
      </c>
      <c r="E847" t="str">
        <f t="shared" si="26"/>
        <v>ROD-SF-head-224</v>
      </c>
      <c r="F847" s="10" t="s">
        <v>35</v>
      </c>
      <c r="G847" s="39" t="s">
        <v>1331</v>
      </c>
    </row>
    <row r="848" spans="1:7">
      <c r="A848" s="1">
        <v>847</v>
      </c>
      <c r="B848" s="3" t="s">
        <v>2408</v>
      </c>
      <c r="C848" s="1" t="s">
        <v>1206</v>
      </c>
      <c r="D848" t="s">
        <v>2409</v>
      </c>
      <c r="E848" t="str">
        <f t="shared" si="26"/>
        <v>ROD-SF-head-225</v>
      </c>
      <c r="F848" s="10" t="s">
        <v>35</v>
      </c>
      <c r="G848" s="39" t="s">
        <v>1331</v>
      </c>
    </row>
    <row r="849" spans="1:7">
      <c r="A849" s="1">
        <v>848</v>
      </c>
      <c r="B849" s="3" t="s">
        <v>2410</v>
      </c>
      <c r="C849" s="1" t="s">
        <v>1206</v>
      </c>
      <c r="D849" t="s">
        <v>2411</v>
      </c>
      <c r="E849" t="str">
        <f t="shared" si="26"/>
        <v>ROD-SF-head-226</v>
      </c>
      <c r="F849" s="10" t="s">
        <v>35</v>
      </c>
      <c r="G849" s="39" t="s">
        <v>1331</v>
      </c>
    </row>
    <row r="850" spans="1:7">
      <c r="A850" s="1">
        <v>849</v>
      </c>
      <c r="B850" s="3" t="s">
        <v>2412</v>
      </c>
      <c r="C850" s="1" t="s">
        <v>1206</v>
      </c>
      <c r="D850" t="s">
        <v>2413</v>
      </c>
      <c r="E850" t="str">
        <f t="shared" si="26"/>
        <v>ROD-SF-head-227</v>
      </c>
      <c r="F850" s="10" t="s">
        <v>35</v>
      </c>
      <c r="G850" s="39" t="s">
        <v>1331</v>
      </c>
    </row>
    <row r="851" spans="1:7">
      <c r="A851" s="1">
        <v>850</v>
      </c>
      <c r="B851" s="3" t="s">
        <v>2414</v>
      </c>
      <c r="C851" s="1" t="s">
        <v>1206</v>
      </c>
      <c r="D851" t="s">
        <v>2415</v>
      </c>
      <c r="E851" t="str">
        <f t="shared" si="26"/>
        <v>ROD-SF-head-228</v>
      </c>
      <c r="F851" s="10" t="s">
        <v>35</v>
      </c>
      <c r="G851" s="39" t="s">
        <v>1331</v>
      </c>
    </row>
    <row r="852" spans="1:7">
      <c r="A852" s="1">
        <v>851</v>
      </c>
      <c r="B852" s="3" t="s">
        <v>2416</v>
      </c>
      <c r="C852" s="1" t="s">
        <v>1206</v>
      </c>
      <c r="D852" t="s">
        <v>2417</v>
      </c>
      <c r="E852" t="str">
        <f t="shared" si="26"/>
        <v>ROD-SF-head-229</v>
      </c>
      <c r="F852" s="10" t="s">
        <v>35</v>
      </c>
      <c r="G852" s="39" t="s">
        <v>1331</v>
      </c>
    </row>
    <row r="853" spans="1:7">
      <c r="A853" s="1">
        <v>852</v>
      </c>
      <c r="B853" s="3" t="s">
        <v>2418</v>
      </c>
      <c r="C853" s="1" t="s">
        <v>1206</v>
      </c>
      <c r="D853" t="s">
        <v>2419</v>
      </c>
      <c r="E853" t="str">
        <f t="shared" si="26"/>
        <v>ROD-SF-head-230</v>
      </c>
      <c r="F853" s="10" t="s">
        <v>35</v>
      </c>
      <c r="G853" s="39" t="s">
        <v>1331</v>
      </c>
    </row>
    <row r="854" spans="1:7">
      <c r="A854" s="1">
        <v>853</v>
      </c>
      <c r="B854" s="3" t="s">
        <v>2420</v>
      </c>
      <c r="C854" s="1" t="s">
        <v>1206</v>
      </c>
      <c r="D854" t="s">
        <v>2421</v>
      </c>
      <c r="E854" t="str">
        <f t="shared" si="26"/>
        <v>ROD-SF-head-231</v>
      </c>
      <c r="F854" s="10" t="s">
        <v>35</v>
      </c>
      <c r="G854" s="39" t="s">
        <v>1331</v>
      </c>
    </row>
    <row r="855" spans="1:7">
      <c r="A855" s="1">
        <v>854</v>
      </c>
      <c r="B855" s="3" t="s">
        <v>2422</v>
      </c>
      <c r="C855" s="1" t="s">
        <v>1206</v>
      </c>
      <c r="D855" t="s">
        <v>2423</v>
      </c>
      <c r="E855" t="str">
        <f t="shared" si="26"/>
        <v>ROD-SF-head-232</v>
      </c>
      <c r="F855" s="10" t="s">
        <v>35</v>
      </c>
      <c r="G855" s="39" t="s">
        <v>1331</v>
      </c>
    </row>
    <row r="856" spans="1:7">
      <c r="A856" s="1">
        <v>855</v>
      </c>
      <c r="B856" s="3" t="s">
        <v>2424</v>
      </c>
      <c r="C856" s="1" t="s">
        <v>1206</v>
      </c>
      <c r="D856" t="s">
        <v>2425</v>
      </c>
      <c r="E856" t="str">
        <f t="shared" si="26"/>
        <v>ROD-SF-head-233</v>
      </c>
      <c r="F856" s="10" t="s">
        <v>35</v>
      </c>
      <c r="G856" s="39" t="s">
        <v>1331</v>
      </c>
    </row>
    <row r="857" spans="1:7">
      <c r="A857" s="1">
        <v>856</v>
      </c>
      <c r="B857" s="3" t="s">
        <v>2426</v>
      </c>
      <c r="C857" s="1" t="s">
        <v>1206</v>
      </c>
      <c r="D857" t="s">
        <v>2427</v>
      </c>
      <c r="E857" t="str">
        <f t="shared" si="26"/>
        <v>ROD-SF-head-234</v>
      </c>
      <c r="F857" s="10" t="s">
        <v>35</v>
      </c>
      <c r="G857" s="39" t="s">
        <v>1331</v>
      </c>
    </row>
    <row r="858" spans="1:7">
      <c r="A858" s="1">
        <v>857</v>
      </c>
      <c r="B858" s="3" t="s">
        <v>2428</v>
      </c>
      <c r="C858" s="1" t="s">
        <v>1206</v>
      </c>
      <c r="D858" t="s">
        <v>2429</v>
      </c>
      <c r="E858" t="str">
        <f t="shared" si="26"/>
        <v>ROD-SF-head-235</v>
      </c>
      <c r="F858" s="10" t="s">
        <v>35</v>
      </c>
      <c r="G858" s="39" t="s">
        <v>1331</v>
      </c>
    </row>
    <row r="859" spans="1:7">
      <c r="A859" s="1">
        <v>858</v>
      </c>
      <c r="B859" s="3" t="s">
        <v>2430</v>
      </c>
      <c r="C859" s="1" t="s">
        <v>1206</v>
      </c>
      <c r="D859" t="s">
        <v>2431</v>
      </c>
      <c r="E859" t="str">
        <f t="shared" si="26"/>
        <v>ROD-SF-head-236</v>
      </c>
      <c r="F859" s="10" t="s">
        <v>35</v>
      </c>
      <c r="G859" s="39" t="s">
        <v>1331</v>
      </c>
    </row>
    <row r="860" spans="1:7">
      <c r="A860" s="1">
        <v>859</v>
      </c>
      <c r="B860" s="3" t="s">
        <v>2432</v>
      </c>
      <c r="C860" s="1" t="s">
        <v>1206</v>
      </c>
      <c r="D860" t="s">
        <v>2433</v>
      </c>
      <c r="E860" t="str">
        <f t="shared" si="26"/>
        <v>ROD-SF-head-237</v>
      </c>
      <c r="F860" s="10" t="s">
        <v>35</v>
      </c>
      <c r="G860" s="39" t="s">
        <v>1331</v>
      </c>
    </row>
    <row r="861" spans="1:7">
      <c r="A861" s="1">
        <v>860</v>
      </c>
      <c r="B861" s="3" t="s">
        <v>2434</v>
      </c>
      <c r="C861" s="1" t="s">
        <v>1206</v>
      </c>
      <c r="D861" t="s">
        <v>2435</v>
      </c>
      <c r="E861" t="str">
        <f t="shared" si="26"/>
        <v>ROD-SF-head-238</v>
      </c>
      <c r="F861" s="10" t="s">
        <v>35</v>
      </c>
      <c r="G861" s="39" t="s">
        <v>1331</v>
      </c>
    </row>
    <row r="862" spans="1:7">
      <c r="A862" s="1">
        <v>861</v>
      </c>
      <c r="B862" s="3" t="s">
        <v>2436</v>
      </c>
      <c r="C862" s="1" t="s">
        <v>1206</v>
      </c>
      <c r="D862" t="s">
        <v>2437</v>
      </c>
      <c r="E862" t="str">
        <f t="shared" si="26"/>
        <v>ROD-SF-head-239</v>
      </c>
      <c r="F862" s="10" t="s">
        <v>35</v>
      </c>
      <c r="G862" s="39" t="s">
        <v>1331</v>
      </c>
    </row>
    <row r="863" spans="1:7">
      <c r="A863" s="1">
        <v>862</v>
      </c>
      <c r="B863" s="3" t="s">
        <v>2438</v>
      </c>
      <c r="C863" s="1" t="s">
        <v>1206</v>
      </c>
      <c r="D863" t="s">
        <v>2439</v>
      </c>
      <c r="E863" t="str">
        <f t="shared" si="26"/>
        <v>ROD-SF-head-240</v>
      </c>
      <c r="F863" s="10" t="s">
        <v>35</v>
      </c>
      <c r="G863" s="39" t="s">
        <v>1331</v>
      </c>
    </row>
    <row r="864" spans="1:7">
      <c r="A864" s="1">
        <v>863</v>
      </c>
      <c r="B864" s="3" t="s">
        <v>2440</v>
      </c>
      <c r="C864" s="1" t="s">
        <v>1206</v>
      </c>
      <c r="D864" t="s">
        <v>2441</v>
      </c>
      <c r="E864" t="str">
        <f t="shared" si="26"/>
        <v>ROD-SF-head-241</v>
      </c>
      <c r="F864" s="10" t="s">
        <v>35</v>
      </c>
      <c r="G864" s="39" t="s">
        <v>1331</v>
      </c>
    </row>
    <row r="865" spans="1:7">
      <c r="A865" s="1">
        <v>864</v>
      </c>
      <c r="B865" s="3" t="s">
        <v>2442</v>
      </c>
      <c r="C865" s="1" t="s">
        <v>1206</v>
      </c>
      <c r="D865" t="s">
        <v>2443</v>
      </c>
      <c r="E865" t="str">
        <f t="shared" si="26"/>
        <v>ROD-SF-head-242</v>
      </c>
      <c r="F865" s="10" t="s">
        <v>35</v>
      </c>
      <c r="G865" s="39" t="s">
        <v>1331</v>
      </c>
    </row>
    <row r="866" spans="1:7">
      <c r="A866" s="1">
        <v>865</v>
      </c>
      <c r="B866" s="3" t="s">
        <v>2444</v>
      </c>
      <c r="C866" s="1" t="s">
        <v>1206</v>
      </c>
      <c r="D866" t="s">
        <v>2445</v>
      </c>
      <c r="E866" t="str">
        <f t="shared" si="26"/>
        <v>ROD-SF-head-243</v>
      </c>
      <c r="F866" s="10" t="s">
        <v>35</v>
      </c>
      <c r="G866" s="39" t="s">
        <v>1331</v>
      </c>
    </row>
    <row r="867" spans="1:7">
      <c r="A867" s="1">
        <v>866</v>
      </c>
      <c r="B867" s="3" t="s">
        <v>2446</v>
      </c>
      <c r="C867" s="1" t="s">
        <v>1206</v>
      </c>
      <c r="D867" t="s">
        <v>2447</v>
      </c>
      <c r="E867" t="str">
        <f t="shared" si="26"/>
        <v>ROD-SF-head-244</v>
      </c>
      <c r="F867" s="10" t="s">
        <v>35</v>
      </c>
      <c r="G867" s="39" t="s">
        <v>1331</v>
      </c>
    </row>
    <row r="868" spans="1:7">
      <c r="A868" s="1">
        <v>867</v>
      </c>
      <c r="B868" s="3" t="s">
        <v>2448</v>
      </c>
      <c r="C868" s="1" t="s">
        <v>1206</v>
      </c>
      <c r="D868" t="s">
        <v>2449</v>
      </c>
      <c r="E868" t="str">
        <f t="shared" si="26"/>
        <v>ROD-SF-head-245</v>
      </c>
      <c r="F868" s="10" t="s">
        <v>35</v>
      </c>
      <c r="G868" s="39" t="s">
        <v>1331</v>
      </c>
    </row>
    <row r="869" spans="1:7">
      <c r="A869" s="1">
        <v>868</v>
      </c>
      <c r="B869" s="3" t="s">
        <v>2450</v>
      </c>
      <c r="C869" s="1" t="s">
        <v>1206</v>
      </c>
      <c r="D869" t="s">
        <v>2451</v>
      </c>
      <c r="E869" t="str">
        <f t="shared" si="26"/>
        <v>ROD-SF-head-246</v>
      </c>
      <c r="F869" s="10" t="s">
        <v>35</v>
      </c>
      <c r="G869" s="39" t="s">
        <v>1331</v>
      </c>
    </row>
    <row r="870" spans="1:7">
      <c r="A870" s="1">
        <v>869</v>
      </c>
      <c r="B870" s="3" t="s">
        <v>2452</v>
      </c>
      <c r="C870" s="1" t="s">
        <v>1206</v>
      </c>
      <c r="D870" t="s">
        <v>2453</v>
      </c>
      <c r="E870" t="str">
        <f t="shared" si="26"/>
        <v>ROD-SF-head-247</v>
      </c>
      <c r="F870" s="10" t="s">
        <v>35</v>
      </c>
      <c r="G870" s="39" t="s">
        <v>1331</v>
      </c>
    </row>
    <row r="871" spans="1:7">
      <c r="A871" s="1">
        <v>870</v>
      </c>
      <c r="B871" s="3" t="s">
        <v>2454</v>
      </c>
      <c r="C871" s="1" t="s">
        <v>1206</v>
      </c>
      <c r="D871" t="s">
        <v>2455</v>
      </c>
      <c r="E871" t="str">
        <f t="shared" si="26"/>
        <v>ROD-SF-head-248</v>
      </c>
      <c r="F871" s="10" t="s">
        <v>35</v>
      </c>
      <c r="G871" s="39" t="s">
        <v>1331</v>
      </c>
    </row>
    <row r="872" spans="1:7">
      <c r="A872" s="1">
        <v>871</v>
      </c>
      <c r="B872" s="3" t="s">
        <v>2456</v>
      </c>
      <c r="C872" s="1" t="s">
        <v>1206</v>
      </c>
      <c r="D872" t="s">
        <v>2457</v>
      </c>
      <c r="E872" t="str">
        <f t="shared" si="26"/>
        <v>ROD-SF-head-249</v>
      </c>
      <c r="F872" s="10" t="s">
        <v>35</v>
      </c>
      <c r="G872" s="39" t="s">
        <v>1331</v>
      </c>
    </row>
    <row r="873" spans="1:7">
      <c r="A873" s="1">
        <v>872</v>
      </c>
      <c r="B873" s="3" t="s">
        <v>2458</v>
      </c>
      <c r="C873" s="1" t="s">
        <v>1206</v>
      </c>
      <c r="D873" t="s">
        <v>2459</v>
      </c>
      <c r="E873" t="str">
        <f t="shared" si="26"/>
        <v>ROD-SF-head-250</v>
      </c>
      <c r="F873" s="10" t="s">
        <v>35</v>
      </c>
      <c r="G873" s="39" t="s">
        <v>1331</v>
      </c>
    </row>
    <row r="874" spans="1:7">
      <c r="A874" s="1">
        <v>873</v>
      </c>
      <c r="B874" s="3" t="s">
        <v>2460</v>
      </c>
      <c r="C874" s="1" t="s">
        <v>1206</v>
      </c>
      <c r="D874" t="s">
        <v>2461</v>
      </c>
      <c r="E874" t="str">
        <f t="shared" si="26"/>
        <v>ROD-SF-head-251</v>
      </c>
      <c r="F874" s="10" t="s">
        <v>35</v>
      </c>
      <c r="G874" s="39" t="s">
        <v>1331</v>
      </c>
    </row>
    <row r="875" spans="1:7">
      <c r="A875" s="1">
        <v>874</v>
      </c>
      <c r="B875" s="3" t="s">
        <v>2462</v>
      </c>
      <c r="C875" s="1" t="s">
        <v>1206</v>
      </c>
      <c r="D875" t="s">
        <v>2463</v>
      </c>
      <c r="E875" t="str">
        <f t="shared" si="26"/>
        <v>ROD-SF-head-252</v>
      </c>
      <c r="F875" s="10" t="s">
        <v>35</v>
      </c>
      <c r="G875" s="39" t="s">
        <v>1331</v>
      </c>
    </row>
    <row r="876" spans="1:7">
      <c r="A876" s="1">
        <v>875</v>
      </c>
      <c r="B876" s="3" t="s">
        <v>2464</v>
      </c>
      <c r="C876" s="1" t="s">
        <v>1206</v>
      </c>
      <c r="D876" t="s">
        <v>2465</v>
      </c>
      <c r="E876" t="str">
        <f t="shared" si="26"/>
        <v>ROD-SF-head-253</v>
      </c>
      <c r="F876" s="10" t="s">
        <v>35</v>
      </c>
      <c r="G876" s="39" t="s">
        <v>1331</v>
      </c>
    </row>
    <row r="877" spans="1:7">
      <c r="A877" s="1">
        <v>876</v>
      </c>
      <c r="B877" s="3" t="s">
        <v>2466</v>
      </c>
      <c r="C877" s="1" t="s">
        <v>1206</v>
      </c>
      <c r="D877" t="s">
        <v>2467</v>
      </c>
      <c r="E877" t="str">
        <f t="shared" si="26"/>
        <v>ROD-SF-head-254</v>
      </c>
      <c r="F877" s="10" t="s">
        <v>35</v>
      </c>
      <c r="G877" s="39" t="s">
        <v>1331</v>
      </c>
    </row>
    <row r="878" spans="1:7">
      <c r="A878" s="1">
        <v>877</v>
      </c>
      <c r="B878" s="3" t="s">
        <v>2468</v>
      </c>
      <c r="C878" s="1" t="s">
        <v>1206</v>
      </c>
      <c r="D878" t="s">
        <v>2469</v>
      </c>
      <c r="E878" t="str">
        <f t="shared" si="26"/>
        <v>ROD-SF-head-255</v>
      </c>
      <c r="F878" s="10" t="s">
        <v>35</v>
      </c>
      <c r="G878" s="39" t="s">
        <v>1331</v>
      </c>
    </row>
    <row r="879" spans="1:7">
      <c r="A879" s="1">
        <v>878</v>
      </c>
      <c r="B879" s="3" t="s">
        <v>2470</v>
      </c>
      <c r="C879" s="1" t="s">
        <v>1206</v>
      </c>
      <c r="D879" t="s">
        <v>2471</v>
      </c>
      <c r="E879" t="str">
        <f t="shared" si="26"/>
        <v>ROD-SF-head-256</v>
      </c>
      <c r="F879" s="10" t="s">
        <v>35</v>
      </c>
      <c r="G879" s="39" t="s">
        <v>1331</v>
      </c>
    </row>
    <row r="880" spans="1:7">
      <c r="A880" s="1">
        <v>879</v>
      </c>
      <c r="B880" s="3" t="s">
        <v>2472</v>
      </c>
      <c r="C880" s="1" t="s">
        <v>1206</v>
      </c>
      <c r="D880" t="s">
        <v>2473</v>
      </c>
      <c r="E880" t="str">
        <f t="shared" si="26"/>
        <v>ROD-SF-head-257</v>
      </c>
      <c r="F880" s="10" t="s">
        <v>35</v>
      </c>
      <c r="G880" s="39" t="s">
        <v>1331</v>
      </c>
    </row>
    <row r="881" spans="1:7">
      <c r="A881" s="1">
        <v>880</v>
      </c>
      <c r="B881" s="3" t="s">
        <v>2474</v>
      </c>
      <c r="C881" s="1" t="s">
        <v>1206</v>
      </c>
      <c r="D881" t="s">
        <v>2475</v>
      </c>
      <c r="E881" t="str">
        <f t="shared" si="26"/>
        <v>ROD-SF-head-258</v>
      </c>
      <c r="F881" s="10" t="s">
        <v>35</v>
      </c>
      <c r="G881" s="39" t="s">
        <v>1331</v>
      </c>
    </row>
    <row r="882" spans="1:7">
      <c r="A882" s="1">
        <v>881</v>
      </c>
      <c r="B882" s="3" t="s">
        <v>2476</v>
      </c>
      <c r="C882" s="1" t="s">
        <v>1206</v>
      </c>
      <c r="D882" t="s">
        <v>2477</v>
      </c>
      <c r="E882" t="str">
        <f t="shared" si="26"/>
        <v>ROD-SF-head-259</v>
      </c>
      <c r="F882" s="10" t="s">
        <v>35</v>
      </c>
      <c r="G882" s="39" t="s">
        <v>1331</v>
      </c>
    </row>
    <row r="883" spans="1:7">
      <c r="A883" s="1">
        <v>882</v>
      </c>
      <c r="B883" s="3" t="s">
        <v>2478</v>
      </c>
      <c r="C883" s="1" t="s">
        <v>1206</v>
      </c>
      <c r="D883" t="s">
        <v>2479</v>
      </c>
      <c r="E883" t="str">
        <f t="shared" si="26"/>
        <v>ROD-SF-head-260</v>
      </c>
      <c r="F883" s="10" t="s">
        <v>35</v>
      </c>
      <c r="G883" s="39" t="s">
        <v>1331</v>
      </c>
    </row>
    <row r="884" spans="1:7">
      <c r="A884" s="1">
        <v>883</v>
      </c>
      <c r="B884" s="3" t="s">
        <v>2480</v>
      </c>
      <c r="C884" s="1" t="s">
        <v>1206</v>
      </c>
      <c r="D884" t="s">
        <v>2481</v>
      </c>
      <c r="E884" t="str">
        <f t="shared" si="26"/>
        <v>ROD-SF-head-261</v>
      </c>
      <c r="F884" s="10" t="s">
        <v>35</v>
      </c>
      <c r="G884" s="39" t="s">
        <v>1331</v>
      </c>
    </row>
    <row r="885" spans="1:7">
      <c r="A885" s="1">
        <v>884</v>
      </c>
      <c r="B885" s="3" t="s">
        <v>2482</v>
      </c>
      <c r="C885" s="1" t="s">
        <v>1206</v>
      </c>
      <c r="D885" t="s">
        <v>2483</v>
      </c>
      <c r="E885" t="str">
        <f t="shared" si="26"/>
        <v>ROD-SF-head-262</v>
      </c>
      <c r="F885" s="10" t="s">
        <v>35</v>
      </c>
      <c r="G885" s="39" t="s">
        <v>1331</v>
      </c>
    </row>
    <row r="886" spans="1:7">
      <c r="A886" s="1">
        <v>885</v>
      </c>
      <c r="B886" s="3" t="s">
        <v>2484</v>
      </c>
      <c r="C886" s="1" t="s">
        <v>1206</v>
      </c>
      <c r="D886" t="s">
        <v>2485</v>
      </c>
      <c r="E886" t="str">
        <f t="shared" si="26"/>
        <v>ROD-SF-head-263</v>
      </c>
      <c r="F886" s="10" t="s">
        <v>35</v>
      </c>
      <c r="G886" s="39" t="s">
        <v>1331</v>
      </c>
    </row>
    <row r="887" spans="1:7">
      <c r="A887" s="1">
        <v>886</v>
      </c>
      <c r="B887" s="3" t="s">
        <v>2486</v>
      </c>
      <c r="C887" s="1" t="s">
        <v>1206</v>
      </c>
      <c r="D887" t="s">
        <v>2487</v>
      </c>
      <c r="E887" t="str">
        <f t="shared" si="26"/>
        <v>ROD-SF-head-264</v>
      </c>
      <c r="F887" s="10" t="s">
        <v>35</v>
      </c>
      <c r="G887" s="39" t="s">
        <v>1331</v>
      </c>
    </row>
    <row r="888" spans="1:7">
      <c r="A888" s="1">
        <v>887</v>
      </c>
      <c r="B888" s="3" t="s">
        <v>2488</v>
      </c>
      <c r="C888" s="1" t="s">
        <v>1206</v>
      </c>
      <c r="D888" t="s">
        <v>2489</v>
      </c>
      <c r="E888" t="str">
        <f t="shared" si="26"/>
        <v>ROD-SF-head-265</v>
      </c>
      <c r="F888" s="10" t="s">
        <v>35</v>
      </c>
      <c r="G888" s="39" t="s">
        <v>1331</v>
      </c>
    </row>
    <row r="889" spans="1:7">
      <c r="A889" s="1">
        <v>888</v>
      </c>
      <c r="B889" s="3" t="s">
        <v>2490</v>
      </c>
      <c r="C889" s="1" t="s">
        <v>1206</v>
      </c>
      <c r="D889" t="s">
        <v>2491</v>
      </c>
      <c r="E889" t="str">
        <f t="shared" ref="E889:E948" si="27">C889&amp;D889</f>
        <v>ROD-SF-head-266</v>
      </c>
      <c r="F889" s="10" t="s">
        <v>35</v>
      </c>
      <c r="G889" s="39" t="s">
        <v>1331</v>
      </c>
    </row>
    <row r="890" spans="1:7">
      <c r="A890" s="1">
        <v>889</v>
      </c>
      <c r="B890" s="3" t="s">
        <v>2492</v>
      </c>
      <c r="C890" s="1" t="s">
        <v>1206</v>
      </c>
      <c r="D890" t="s">
        <v>2493</v>
      </c>
      <c r="E890" t="str">
        <f t="shared" si="27"/>
        <v>ROD-SF-head-267</v>
      </c>
      <c r="F890" s="10" t="s">
        <v>35</v>
      </c>
      <c r="G890" s="39" t="s">
        <v>1331</v>
      </c>
    </row>
    <row r="891" spans="1:7">
      <c r="A891" s="1">
        <v>890</v>
      </c>
      <c r="B891" s="3" t="s">
        <v>2494</v>
      </c>
      <c r="C891" s="1" t="s">
        <v>1206</v>
      </c>
      <c r="D891" t="s">
        <v>2495</v>
      </c>
      <c r="E891" t="str">
        <f t="shared" si="27"/>
        <v>ROD-SF-head-268</v>
      </c>
      <c r="F891" s="10" t="s">
        <v>35</v>
      </c>
      <c r="G891" s="39" t="s">
        <v>1331</v>
      </c>
    </row>
    <row r="892" spans="1:7">
      <c r="A892" s="1">
        <v>891</v>
      </c>
      <c r="B892" s="3" t="s">
        <v>2496</v>
      </c>
      <c r="C892" s="1" t="s">
        <v>1206</v>
      </c>
      <c r="D892" t="s">
        <v>2497</v>
      </c>
      <c r="E892" t="str">
        <f t="shared" si="27"/>
        <v>ROD-SF-head-269</v>
      </c>
      <c r="F892" s="10" t="s">
        <v>35</v>
      </c>
      <c r="G892" s="39" t="s">
        <v>1331</v>
      </c>
    </row>
    <row r="893" spans="1:7">
      <c r="A893" s="1">
        <v>892</v>
      </c>
      <c r="B893" s="3" t="s">
        <v>2498</v>
      </c>
      <c r="C893" s="1" t="s">
        <v>1206</v>
      </c>
      <c r="D893" t="s">
        <v>2499</v>
      </c>
      <c r="E893" t="str">
        <f t="shared" si="27"/>
        <v>ROD-SF-head-270</v>
      </c>
      <c r="F893" s="10" t="s">
        <v>35</v>
      </c>
      <c r="G893" s="39" t="s">
        <v>1331</v>
      </c>
    </row>
    <row r="894" spans="1:7">
      <c r="A894" s="1">
        <v>893</v>
      </c>
      <c r="B894" s="3" t="s">
        <v>2500</v>
      </c>
      <c r="C894" s="1" t="s">
        <v>1206</v>
      </c>
      <c r="D894" t="s">
        <v>2501</v>
      </c>
      <c r="E894" t="str">
        <f t="shared" si="27"/>
        <v>ROD-SF-head-271</v>
      </c>
      <c r="F894" s="10" t="s">
        <v>35</v>
      </c>
      <c r="G894" s="39" t="s">
        <v>1331</v>
      </c>
    </row>
    <row r="895" spans="1:7">
      <c r="A895" s="1">
        <v>894</v>
      </c>
      <c r="B895" s="3" t="s">
        <v>2502</v>
      </c>
      <c r="C895" s="1" t="s">
        <v>1206</v>
      </c>
      <c r="D895" t="s">
        <v>2503</v>
      </c>
      <c r="E895" t="str">
        <f t="shared" si="27"/>
        <v>ROD-SF-head-272</v>
      </c>
      <c r="F895" s="10" t="s">
        <v>35</v>
      </c>
      <c r="G895" s="39" t="s">
        <v>1331</v>
      </c>
    </row>
    <row r="896" spans="1:7">
      <c r="A896" s="1">
        <v>895</v>
      </c>
      <c r="B896" s="3" t="s">
        <v>2504</v>
      </c>
      <c r="C896" s="1" t="s">
        <v>1206</v>
      </c>
      <c r="D896" t="s">
        <v>2505</v>
      </c>
      <c r="E896" t="str">
        <f t="shared" si="27"/>
        <v>ROD-SF-head-273</v>
      </c>
      <c r="F896" s="10" t="s">
        <v>35</v>
      </c>
      <c r="G896" s="39" t="s">
        <v>1331</v>
      </c>
    </row>
    <row r="897" spans="1:7">
      <c r="A897" s="1">
        <v>896</v>
      </c>
      <c r="B897" s="3" t="s">
        <v>2506</v>
      </c>
      <c r="C897" s="1" t="s">
        <v>1206</v>
      </c>
      <c r="D897" t="s">
        <v>2507</v>
      </c>
      <c r="E897" t="str">
        <f t="shared" si="27"/>
        <v>ROD-SF-head-274</v>
      </c>
      <c r="F897" s="10" t="s">
        <v>35</v>
      </c>
      <c r="G897" s="39" t="s">
        <v>1331</v>
      </c>
    </row>
    <row r="898" spans="1:7">
      <c r="A898" s="1">
        <v>897</v>
      </c>
      <c r="B898" s="3" t="s">
        <v>2508</v>
      </c>
      <c r="C898" s="1" t="s">
        <v>1206</v>
      </c>
      <c r="D898" t="s">
        <v>2509</v>
      </c>
      <c r="E898" t="str">
        <f t="shared" si="27"/>
        <v>ROD-SF-head-275</v>
      </c>
      <c r="F898" s="10" t="s">
        <v>35</v>
      </c>
      <c r="G898" s="39" t="s">
        <v>1331</v>
      </c>
    </row>
    <row r="899" spans="1:7">
      <c r="A899" s="1">
        <v>898</v>
      </c>
      <c r="B899" s="3" t="s">
        <v>2510</v>
      </c>
      <c r="C899" s="1" t="s">
        <v>1206</v>
      </c>
      <c r="D899" t="s">
        <v>2511</v>
      </c>
      <c r="E899" t="str">
        <f t="shared" si="27"/>
        <v>ROD-SF-head-276</v>
      </c>
      <c r="F899" s="10" t="s">
        <v>35</v>
      </c>
      <c r="G899" s="39" t="s">
        <v>1331</v>
      </c>
    </row>
    <row r="900" spans="1:7">
      <c r="A900" s="1">
        <v>899</v>
      </c>
      <c r="B900" s="3" t="s">
        <v>2512</v>
      </c>
      <c r="C900" s="1" t="s">
        <v>1206</v>
      </c>
      <c r="D900" t="s">
        <v>2513</v>
      </c>
      <c r="E900" t="str">
        <f t="shared" si="27"/>
        <v>ROD-SF-head-277</v>
      </c>
      <c r="F900" s="10" t="s">
        <v>35</v>
      </c>
      <c r="G900" s="39" t="s">
        <v>1331</v>
      </c>
    </row>
    <row r="901" spans="1:7">
      <c r="A901" s="1">
        <v>900</v>
      </c>
      <c r="B901" s="3" t="s">
        <v>2514</v>
      </c>
      <c r="C901" s="1" t="s">
        <v>1206</v>
      </c>
      <c r="D901" t="s">
        <v>2515</v>
      </c>
      <c r="E901" t="str">
        <f t="shared" si="27"/>
        <v>ROD-SF-head-278</v>
      </c>
      <c r="F901" s="10" t="s">
        <v>35</v>
      </c>
      <c r="G901" s="39" t="s">
        <v>1331</v>
      </c>
    </row>
    <row r="902" spans="1:7">
      <c r="A902" s="1">
        <v>901</v>
      </c>
      <c r="B902" s="3" t="s">
        <v>2516</v>
      </c>
      <c r="C902" s="1" t="s">
        <v>1206</v>
      </c>
      <c r="D902" t="s">
        <v>2517</v>
      </c>
      <c r="E902" t="str">
        <f t="shared" si="27"/>
        <v>ROD-SF-head-279</v>
      </c>
      <c r="F902" s="10" t="s">
        <v>35</v>
      </c>
      <c r="G902" s="39" t="s">
        <v>1331</v>
      </c>
    </row>
    <row r="903" spans="1:7">
      <c r="A903" s="1">
        <v>902</v>
      </c>
      <c r="B903" s="3" t="s">
        <v>2518</v>
      </c>
      <c r="C903" s="1" t="s">
        <v>1206</v>
      </c>
      <c r="D903" t="s">
        <v>2519</v>
      </c>
      <c r="E903" t="str">
        <f t="shared" si="27"/>
        <v>ROD-SF-head-280</v>
      </c>
      <c r="F903" s="10" t="s">
        <v>35</v>
      </c>
      <c r="G903" s="39" t="s">
        <v>1331</v>
      </c>
    </row>
    <row r="904" spans="1:7">
      <c r="A904" s="1">
        <v>903</v>
      </c>
      <c r="B904" s="3" t="s">
        <v>2520</v>
      </c>
      <c r="C904" s="1" t="s">
        <v>1206</v>
      </c>
      <c r="D904" t="s">
        <v>2521</v>
      </c>
      <c r="E904" t="str">
        <f t="shared" si="27"/>
        <v>ROD-SF-head-281</v>
      </c>
      <c r="F904" s="10" t="s">
        <v>35</v>
      </c>
      <c r="G904" s="39" t="s">
        <v>1331</v>
      </c>
    </row>
    <row r="905" spans="1:7">
      <c r="A905" s="1">
        <v>904</v>
      </c>
      <c r="B905" s="3" t="s">
        <v>2522</v>
      </c>
      <c r="C905" s="1" t="s">
        <v>1206</v>
      </c>
      <c r="D905" t="s">
        <v>2523</v>
      </c>
      <c r="E905" t="str">
        <f t="shared" si="27"/>
        <v>ROD-SF-head-282</v>
      </c>
      <c r="F905" s="10" t="s">
        <v>35</v>
      </c>
      <c r="G905" s="39" t="s">
        <v>1331</v>
      </c>
    </row>
    <row r="906" spans="1:7">
      <c r="A906" s="1">
        <v>905</v>
      </c>
      <c r="B906" s="3" t="s">
        <v>2524</v>
      </c>
      <c r="C906" s="1" t="s">
        <v>1206</v>
      </c>
      <c r="D906" t="s">
        <v>2525</v>
      </c>
      <c r="E906" t="str">
        <f t="shared" si="27"/>
        <v>ROD-SF-head-283</v>
      </c>
      <c r="F906" s="10" t="s">
        <v>35</v>
      </c>
      <c r="G906" s="39" t="s">
        <v>1331</v>
      </c>
    </row>
    <row r="907" spans="1:7">
      <c r="A907" s="1">
        <v>906</v>
      </c>
      <c r="B907" s="3" t="s">
        <v>2526</v>
      </c>
      <c r="C907" s="1" t="s">
        <v>1206</v>
      </c>
      <c r="D907" t="s">
        <v>2527</v>
      </c>
      <c r="E907" t="str">
        <f t="shared" si="27"/>
        <v>ROD-SF-head-284</v>
      </c>
      <c r="F907" s="10" t="s">
        <v>35</v>
      </c>
      <c r="G907" s="39" t="s">
        <v>1331</v>
      </c>
    </row>
    <row r="908" spans="1:7">
      <c r="A908" s="1">
        <v>907</v>
      </c>
      <c r="B908" s="3" t="s">
        <v>2528</v>
      </c>
      <c r="C908" s="1" t="s">
        <v>1206</v>
      </c>
      <c r="D908" t="s">
        <v>2529</v>
      </c>
      <c r="E908" t="str">
        <f t="shared" si="27"/>
        <v>ROD-SF-head-285</v>
      </c>
      <c r="F908" s="10" t="s">
        <v>35</v>
      </c>
      <c r="G908" s="39" t="s">
        <v>1331</v>
      </c>
    </row>
    <row r="909" spans="1:7">
      <c r="A909" s="1">
        <v>908</v>
      </c>
      <c r="B909" s="3" t="s">
        <v>2530</v>
      </c>
      <c r="C909" s="1" t="s">
        <v>1206</v>
      </c>
      <c r="D909" t="s">
        <v>2531</v>
      </c>
      <c r="E909" t="str">
        <f t="shared" si="27"/>
        <v>ROD-SF-head-286</v>
      </c>
      <c r="F909" s="10" t="s">
        <v>35</v>
      </c>
      <c r="G909" s="39" t="s">
        <v>1331</v>
      </c>
    </row>
    <row r="910" spans="1:7">
      <c r="A910" s="1">
        <v>909</v>
      </c>
      <c r="B910" s="3" t="s">
        <v>2532</v>
      </c>
      <c r="C910" s="1" t="s">
        <v>1206</v>
      </c>
      <c r="D910" t="s">
        <v>2533</v>
      </c>
      <c r="E910" t="str">
        <f t="shared" si="27"/>
        <v>ROD-SF-head-287</v>
      </c>
      <c r="F910" s="10" t="s">
        <v>35</v>
      </c>
      <c r="G910" s="39" t="s">
        <v>1331</v>
      </c>
    </row>
    <row r="911" spans="1:7">
      <c r="A911" s="1">
        <v>910</v>
      </c>
      <c r="B911" s="3" t="s">
        <v>2534</v>
      </c>
      <c r="C911" s="1" t="s">
        <v>1206</v>
      </c>
      <c r="D911" t="s">
        <v>2535</v>
      </c>
      <c r="E911" t="str">
        <f t="shared" si="27"/>
        <v>ROD-SF-head-288</v>
      </c>
      <c r="F911" s="10" t="s">
        <v>35</v>
      </c>
      <c r="G911" s="39" t="s">
        <v>1331</v>
      </c>
    </row>
    <row r="912" spans="1:7">
      <c r="A912" s="1">
        <v>911</v>
      </c>
      <c r="B912" s="3" t="s">
        <v>2536</v>
      </c>
      <c r="C912" s="1" t="s">
        <v>1206</v>
      </c>
      <c r="D912" t="s">
        <v>2537</v>
      </c>
      <c r="E912" t="str">
        <f t="shared" si="27"/>
        <v>ROD-SF-head-289</v>
      </c>
      <c r="F912" s="10" t="s">
        <v>35</v>
      </c>
      <c r="G912" s="39" t="s">
        <v>1331</v>
      </c>
    </row>
    <row r="913" spans="1:7">
      <c r="A913" s="1">
        <v>912</v>
      </c>
      <c r="B913" s="3" t="s">
        <v>2538</v>
      </c>
      <c r="C913" s="1" t="s">
        <v>1206</v>
      </c>
      <c r="D913" t="s">
        <v>2539</v>
      </c>
      <c r="E913" t="str">
        <f t="shared" si="27"/>
        <v>ROD-SF-head-290</v>
      </c>
      <c r="F913" s="10" t="s">
        <v>35</v>
      </c>
      <c r="G913" s="39" t="s">
        <v>1331</v>
      </c>
    </row>
    <row r="914" spans="1:7">
      <c r="A914" s="1">
        <v>913</v>
      </c>
      <c r="B914" s="3" t="s">
        <v>2540</v>
      </c>
      <c r="C914" s="1" t="s">
        <v>1206</v>
      </c>
      <c r="D914" t="s">
        <v>2541</v>
      </c>
      <c r="E914" t="str">
        <f t="shared" si="27"/>
        <v>ROD-SF-head-291</v>
      </c>
      <c r="F914" s="10" t="s">
        <v>35</v>
      </c>
      <c r="G914" s="39" t="s">
        <v>1331</v>
      </c>
    </row>
    <row r="915" spans="1:7">
      <c r="A915" s="1">
        <v>914</v>
      </c>
      <c r="B915" s="3" t="s">
        <v>2542</v>
      </c>
      <c r="C915" s="1" t="s">
        <v>1206</v>
      </c>
      <c r="D915" t="s">
        <v>2543</v>
      </c>
      <c r="E915" t="str">
        <f t="shared" si="27"/>
        <v>ROD-SF-head-292</v>
      </c>
      <c r="F915" s="10" t="s">
        <v>35</v>
      </c>
      <c r="G915" s="39" t="s">
        <v>1331</v>
      </c>
    </row>
    <row r="916" spans="1:7">
      <c r="A916" s="1">
        <v>915</v>
      </c>
      <c r="B916" s="3" t="s">
        <v>2544</v>
      </c>
      <c r="C916" s="1" t="s">
        <v>1206</v>
      </c>
      <c r="D916" t="s">
        <v>2545</v>
      </c>
      <c r="E916" t="str">
        <f t="shared" si="27"/>
        <v>ROD-SF-head-293</v>
      </c>
      <c r="F916" s="10" t="s">
        <v>35</v>
      </c>
      <c r="G916" s="39" t="s">
        <v>1331</v>
      </c>
    </row>
    <row r="917" spans="1:7">
      <c r="A917" s="1">
        <v>916</v>
      </c>
      <c r="B917" s="3" t="s">
        <v>2546</v>
      </c>
      <c r="C917" s="1" t="s">
        <v>1206</v>
      </c>
      <c r="D917" t="s">
        <v>2547</v>
      </c>
      <c r="E917" t="str">
        <f t="shared" si="27"/>
        <v>ROD-SF-head-294</v>
      </c>
      <c r="F917" s="10" t="s">
        <v>35</v>
      </c>
      <c r="G917" s="39" t="s">
        <v>1331</v>
      </c>
    </row>
    <row r="918" spans="1:7">
      <c r="A918" s="1">
        <v>917</v>
      </c>
      <c r="B918" s="3" t="s">
        <v>2548</v>
      </c>
      <c r="C918" s="1" t="s">
        <v>1206</v>
      </c>
      <c r="D918" t="s">
        <v>2549</v>
      </c>
      <c r="E918" t="str">
        <f t="shared" si="27"/>
        <v>ROD-SF-head-295</v>
      </c>
      <c r="F918" s="10" t="s">
        <v>35</v>
      </c>
      <c r="G918" s="39" t="s">
        <v>1331</v>
      </c>
    </row>
    <row r="919" spans="1:7">
      <c r="A919" s="1">
        <v>918</v>
      </c>
      <c r="B919" s="3" t="s">
        <v>2550</v>
      </c>
      <c r="C919" s="1" t="s">
        <v>1206</v>
      </c>
      <c r="D919" t="s">
        <v>2551</v>
      </c>
      <c r="E919" t="str">
        <f t="shared" si="27"/>
        <v>ROD-SF-head-296</v>
      </c>
      <c r="F919" s="10" t="s">
        <v>35</v>
      </c>
      <c r="G919" s="39" t="s">
        <v>1331</v>
      </c>
    </row>
    <row r="920" spans="1:7">
      <c r="A920" s="1">
        <v>919</v>
      </c>
      <c r="B920" s="3" t="s">
        <v>2552</v>
      </c>
      <c r="C920" s="1" t="s">
        <v>1206</v>
      </c>
      <c r="D920" t="s">
        <v>2553</v>
      </c>
      <c r="E920" t="str">
        <f t="shared" si="27"/>
        <v>ROD-SF-head-297</v>
      </c>
      <c r="F920" s="10" t="s">
        <v>35</v>
      </c>
      <c r="G920" s="39" t="s">
        <v>1331</v>
      </c>
    </row>
    <row r="921" spans="1:7">
      <c r="A921" s="1">
        <v>920</v>
      </c>
      <c r="B921" s="3" t="s">
        <v>2554</v>
      </c>
      <c r="C921" s="1" t="s">
        <v>1206</v>
      </c>
      <c r="D921" t="s">
        <v>2555</v>
      </c>
      <c r="E921" t="str">
        <f t="shared" si="27"/>
        <v>ROD-SF-head-298</v>
      </c>
      <c r="F921" s="10" t="s">
        <v>35</v>
      </c>
      <c r="G921" s="39" t="s">
        <v>1331</v>
      </c>
    </row>
    <row r="922" spans="1:7">
      <c r="A922" s="1">
        <v>921</v>
      </c>
      <c r="B922" s="3" t="s">
        <v>2556</v>
      </c>
      <c r="C922" s="1" t="s">
        <v>1206</v>
      </c>
      <c r="D922" t="s">
        <v>2557</v>
      </c>
      <c r="E922" t="str">
        <f t="shared" si="27"/>
        <v>ROD-SF-head-299</v>
      </c>
      <c r="F922" s="10" t="s">
        <v>35</v>
      </c>
      <c r="G922" s="39" t="s">
        <v>1331</v>
      </c>
    </row>
    <row r="923" spans="1:7">
      <c r="A923" s="1">
        <v>922</v>
      </c>
      <c r="B923" s="3" t="s">
        <v>2558</v>
      </c>
      <c r="C923" s="1" t="s">
        <v>1206</v>
      </c>
      <c r="D923" t="s">
        <v>2559</v>
      </c>
      <c r="E923" t="str">
        <f t="shared" si="27"/>
        <v>ROD-SF-head-300</v>
      </c>
      <c r="F923" s="10" t="s">
        <v>35</v>
      </c>
      <c r="G923" s="39" t="s">
        <v>1331</v>
      </c>
    </row>
    <row r="924" spans="1:7">
      <c r="A924" s="1">
        <v>923</v>
      </c>
      <c r="B924" s="3" t="s">
        <v>2560</v>
      </c>
      <c r="C924" s="1" t="s">
        <v>1206</v>
      </c>
      <c r="D924" t="s">
        <v>2561</v>
      </c>
      <c r="E924" t="str">
        <f t="shared" si="27"/>
        <v>ROD-SF-head-301</v>
      </c>
      <c r="F924" s="10" t="s">
        <v>35</v>
      </c>
      <c r="G924" s="39" t="s">
        <v>1331</v>
      </c>
    </row>
    <row r="925" spans="1:7">
      <c r="A925" s="1">
        <v>924</v>
      </c>
      <c r="B925" s="3" t="s">
        <v>2562</v>
      </c>
      <c r="C925" s="1" t="s">
        <v>1206</v>
      </c>
      <c r="D925" t="s">
        <v>2563</v>
      </c>
      <c r="E925" t="str">
        <f t="shared" si="27"/>
        <v>ROD-SF-head-302</v>
      </c>
      <c r="F925" s="10" t="s">
        <v>26</v>
      </c>
      <c r="G925" s="39" t="s">
        <v>1331</v>
      </c>
    </row>
    <row r="926" spans="1:7">
      <c r="A926" s="1">
        <v>925</v>
      </c>
      <c r="B926" s="3" t="s">
        <v>2564</v>
      </c>
      <c r="C926" s="1" t="s">
        <v>1206</v>
      </c>
      <c r="D926" t="s">
        <v>2565</v>
      </c>
      <c r="E926" t="str">
        <f t="shared" si="27"/>
        <v>ROD-SF-head-303</v>
      </c>
      <c r="F926" s="10" t="s">
        <v>14</v>
      </c>
      <c r="G926" s="39" t="s">
        <v>1331</v>
      </c>
    </row>
    <row r="927" spans="1:7">
      <c r="A927" s="1">
        <v>926</v>
      </c>
      <c r="B927" s="3" t="s">
        <v>2566</v>
      </c>
      <c r="C927" s="1" t="s">
        <v>1206</v>
      </c>
      <c r="D927" t="s">
        <v>2567</v>
      </c>
      <c r="E927" t="str">
        <f t="shared" si="27"/>
        <v>ROD-SF-head-304</v>
      </c>
      <c r="F927" s="10" t="s">
        <v>26</v>
      </c>
      <c r="G927" s="39" t="s">
        <v>1331</v>
      </c>
    </row>
    <row r="928" spans="1:7">
      <c r="A928" s="1">
        <v>927</v>
      </c>
      <c r="B928" s="3" t="s">
        <v>2568</v>
      </c>
      <c r="C928" s="1" t="s">
        <v>1206</v>
      </c>
      <c r="D928" t="s">
        <v>2569</v>
      </c>
      <c r="E928" t="str">
        <f t="shared" si="27"/>
        <v>ROD-SF-head-305</v>
      </c>
      <c r="F928" s="10" t="s">
        <v>26</v>
      </c>
      <c r="G928" s="39" t="s">
        <v>1331</v>
      </c>
    </row>
    <row r="929" spans="1:7">
      <c r="A929" s="1">
        <v>928</v>
      </c>
      <c r="B929" s="3" t="s">
        <v>2570</v>
      </c>
      <c r="C929" s="1" t="s">
        <v>1206</v>
      </c>
      <c r="D929" t="s">
        <v>2571</v>
      </c>
      <c r="E929" t="str">
        <f t="shared" si="27"/>
        <v>ROD-SF-head-306</v>
      </c>
      <c r="F929" s="10" t="s">
        <v>14</v>
      </c>
      <c r="G929" s="39" t="s">
        <v>1331</v>
      </c>
    </row>
    <row r="930" spans="1:7">
      <c r="A930" s="1">
        <v>929</v>
      </c>
      <c r="B930" s="3" t="s">
        <v>2572</v>
      </c>
      <c r="C930" s="1" t="s">
        <v>1206</v>
      </c>
      <c r="D930" t="s">
        <v>2573</v>
      </c>
      <c r="E930" t="str">
        <f t="shared" si="27"/>
        <v>ROD-SF-head-307</v>
      </c>
      <c r="F930" s="10" t="s">
        <v>26</v>
      </c>
      <c r="G930" s="39" t="s">
        <v>1331</v>
      </c>
    </row>
    <row r="931" spans="1:7">
      <c r="A931" s="1">
        <v>930</v>
      </c>
      <c r="B931" s="3" t="s">
        <v>2574</v>
      </c>
      <c r="C931" s="1" t="s">
        <v>1206</v>
      </c>
      <c r="D931" t="s">
        <v>2575</v>
      </c>
      <c r="E931" t="str">
        <f t="shared" si="27"/>
        <v>ROD-SF-head-308</v>
      </c>
      <c r="F931" s="10" t="s">
        <v>26</v>
      </c>
      <c r="G931" s="39" t="s">
        <v>1331</v>
      </c>
    </row>
    <row r="932" spans="1:7">
      <c r="A932" s="1">
        <v>931</v>
      </c>
      <c r="B932" s="3" t="s">
        <v>2576</v>
      </c>
      <c r="C932" s="1" t="s">
        <v>1206</v>
      </c>
      <c r="D932" t="s">
        <v>2577</v>
      </c>
      <c r="E932" t="str">
        <f t="shared" si="27"/>
        <v>ROD-SF-head-309</v>
      </c>
      <c r="F932" s="10" t="s">
        <v>26</v>
      </c>
      <c r="G932" s="39" t="s">
        <v>1331</v>
      </c>
    </row>
    <row r="933" spans="1:7">
      <c r="A933" s="1">
        <v>932</v>
      </c>
      <c r="B933" s="3" t="s">
        <v>2578</v>
      </c>
      <c r="C933" s="1" t="s">
        <v>1206</v>
      </c>
      <c r="D933" t="s">
        <v>2579</v>
      </c>
      <c r="E933" t="str">
        <f t="shared" si="27"/>
        <v>ROD-SF-head-310</v>
      </c>
      <c r="F933" s="10" t="s">
        <v>14</v>
      </c>
      <c r="G933" s="39" t="s">
        <v>1331</v>
      </c>
    </row>
    <row r="934" spans="1:7">
      <c r="A934" s="1">
        <v>933</v>
      </c>
      <c r="B934" s="3" t="s">
        <v>2580</v>
      </c>
      <c r="C934" s="1" t="s">
        <v>1206</v>
      </c>
      <c r="D934" t="s">
        <v>2581</v>
      </c>
      <c r="E934" t="str">
        <f t="shared" si="27"/>
        <v>ROD-SF-head-311</v>
      </c>
      <c r="F934" s="10" t="s">
        <v>26</v>
      </c>
      <c r="G934" s="39" t="s">
        <v>1331</v>
      </c>
    </row>
    <row r="935" spans="1:7">
      <c r="A935" s="1">
        <v>934</v>
      </c>
      <c r="B935" s="3" t="s">
        <v>2582</v>
      </c>
      <c r="C935" s="1" t="s">
        <v>1206</v>
      </c>
      <c r="D935" t="s">
        <v>2583</v>
      </c>
      <c r="E935" t="str">
        <f t="shared" si="27"/>
        <v>ROD-SF-head-312</v>
      </c>
      <c r="F935" s="10" t="s">
        <v>14</v>
      </c>
      <c r="G935" s="39" t="s">
        <v>1331</v>
      </c>
    </row>
    <row r="936" spans="1:7">
      <c r="A936" s="1">
        <v>935</v>
      </c>
      <c r="B936" s="3" t="s">
        <v>2584</v>
      </c>
      <c r="C936" s="1" t="s">
        <v>1206</v>
      </c>
      <c r="D936" t="s">
        <v>2585</v>
      </c>
      <c r="E936" t="str">
        <f t="shared" si="27"/>
        <v>ROD-SF-head-313</v>
      </c>
      <c r="F936" s="10" t="s">
        <v>14</v>
      </c>
      <c r="G936" s="39" t="s">
        <v>1331</v>
      </c>
    </row>
    <row r="937" spans="1:7">
      <c r="A937" s="1">
        <v>936</v>
      </c>
      <c r="B937" s="3" t="s">
        <v>2586</v>
      </c>
      <c r="C937" s="1" t="s">
        <v>1206</v>
      </c>
      <c r="D937" t="s">
        <v>2587</v>
      </c>
      <c r="E937" t="str">
        <f t="shared" si="27"/>
        <v>ROD-SF-head-314</v>
      </c>
      <c r="F937" s="10" t="s">
        <v>26</v>
      </c>
      <c r="G937" s="39" t="s">
        <v>1331</v>
      </c>
    </row>
    <row r="938" spans="1:7">
      <c r="A938" s="1">
        <v>937</v>
      </c>
      <c r="B938" s="3" t="s">
        <v>2588</v>
      </c>
      <c r="C938" s="1" t="s">
        <v>1206</v>
      </c>
      <c r="D938" t="s">
        <v>2589</v>
      </c>
      <c r="E938" t="str">
        <f t="shared" si="27"/>
        <v>ROD-SF-head-315</v>
      </c>
      <c r="F938" s="10" t="s">
        <v>14</v>
      </c>
      <c r="G938" s="39" t="s">
        <v>1331</v>
      </c>
    </row>
    <row r="939" spans="1:7">
      <c r="A939" s="1">
        <v>938</v>
      </c>
      <c r="B939" s="3" t="s">
        <v>2590</v>
      </c>
      <c r="C939" s="1" t="s">
        <v>1206</v>
      </c>
      <c r="D939" t="s">
        <v>2591</v>
      </c>
      <c r="E939" t="str">
        <f t="shared" si="27"/>
        <v>ROD-SF-head-316</v>
      </c>
      <c r="F939" s="10" t="s">
        <v>26</v>
      </c>
      <c r="G939" s="39" t="s">
        <v>1331</v>
      </c>
    </row>
    <row r="940" spans="1:7">
      <c r="A940" s="1">
        <v>939</v>
      </c>
      <c r="B940" s="3" t="s">
        <v>2592</v>
      </c>
      <c r="C940" s="1" t="s">
        <v>1206</v>
      </c>
      <c r="D940" t="s">
        <v>2593</v>
      </c>
      <c r="E940" t="str">
        <f t="shared" si="27"/>
        <v>ROD-SF-head-317</v>
      </c>
      <c r="F940" s="10" t="s">
        <v>26</v>
      </c>
      <c r="G940" s="39" t="s">
        <v>1331</v>
      </c>
    </row>
    <row r="941" spans="1:7">
      <c r="A941" s="1">
        <v>940</v>
      </c>
      <c r="B941" s="3" t="s">
        <v>2594</v>
      </c>
      <c r="C941" s="1" t="s">
        <v>1206</v>
      </c>
      <c r="D941" t="s">
        <v>2595</v>
      </c>
      <c r="E941" t="str">
        <f t="shared" si="27"/>
        <v>ROD-SF-head-318</v>
      </c>
      <c r="F941" s="10" t="s">
        <v>14</v>
      </c>
      <c r="G941" s="39" t="s">
        <v>1331</v>
      </c>
    </row>
    <row r="942" spans="1:7" ht="15.75">
      <c r="A942" s="1">
        <v>941</v>
      </c>
      <c r="B942" s="3" t="s">
        <v>2596</v>
      </c>
      <c r="C942" s="1" t="s">
        <v>1206</v>
      </c>
      <c r="D942" t="s">
        <v>2597</v>
      </c>
      <c r="E942" t="str">
        <f t="shared" si="27"/>
        <v>ROD-SF-head-319</v>
      </c>
      <c r="F942" s="10" t="s">
        <v>14</v>
      </c>
      <c r="G942" s="10" t="s">
        <v>2598</v>
      </c>
    </row>
    <row r="943" spans="1:7">
      <c r="A943" s="1">
        <v>942</v>
      </c>
      <c r="B943" s="3" t="s">
        <v>2599</v>
      </c>
      <c r="C943" s="1" t="s">
        <v>1206</v>
      </c>
      <c r="D943" t="s">
        <v>2600</v>
      </c>
      <c r="E943" t="str">
        <f t="shared" si="27"/>
        <v>ROD-SF-head-320</v>
      </c>
      <c r="F943" s="10" t="s">
        <v>26</v>
      </c>
      <c r="G943" s="39" t="s">
        <v>1331</v>
      </c>
    </row>
    <row r="944" spans="1:7">
      <c r="A944" s="1">
        <v>943</v>
      </c>
      <c r="B944" s="3" t="s">
        <v>2601</v>
      </c>
      <c r="C944" s="1" t="s">
        <v>1206</v>
      </c>
      <c r="D944" t="s">
        <v>2602</v>
      </c>
      <c r="E944" t="str">
        <f t="shared" si="27"/>
        <v>ROD-SF-head-321</v>
      </c>
      <c r="F944" s="10" t="s">
        <v>26</v>
      </c>
      <c r="G944" s="39" t="s">
        <v>1331</v>
      </c>
    </row>
    <row r="945" spans="1:7">
      <c r="A945" s="1">
        <v>944</v>
      </c>
      <c r="B945" s="3" t="s">
        <v>2603</v>
      </c>
      <c r="C945" s="1" t="s">
        <v>1206</v>
      </c>
      <c r="D945" t="s">
        <v>2604</v>
      </c>
      <c r="E945" t="str">
        <f t="shared" si="27"/>
        <v>ROD-SF-head-322</v>
      </c>
      <c r="F945" s="10" t="s">
        <v>26</v>
      </c>
      <c r="G945" s="39" t="s">
        <v>1331</v>
      </c>
    </row>
    <row r="946" spans="1:7">
      <c r="A946" s="1">
        <v>945</v>
      </c>
      <c r="B946" s="3" t="s">
        <v>2605</v>
      </c>
      <c r="C946" s="1" t="s">
        <v>1206</v>
      </c>
      <c r="D946" t="s">
        <v>2606</v>
      </c>
      <c r="E946" t="str">
        <f t="shared" si="27"/>
        <v>ROD-SF-head-323</v>
      </c>
      <c r="F946" s="10" t="s">
        <v>26</v>
      </c>
      <c r="G946" s="39" t="s">
        <v>1331</v>
      </c>
    </row>
    <row r="947" spans="1:7">
      <c r="A947" s="1">
        <v>946</v>
      </c>
      <c r="B947" s="3" t="s">
        <v>2607</v>
      </c>
      <c r="C947" s="1" t="s">
        <v>1206</v>
      </c>
      <c r="D947" t="s">
        <v>2608</v>
      </c>
      <c r="E947" t="str">
        <f t="shared" si="27"/>
        <v>ROD-SF-head-324</v>
      </c>
      <c r="F947" s="10" t="s">
        <v>26</v>
      </c>
      <c r="G947" s="39" t="s">
        <v>1331</v>
      </c>
    </row>
    <row r="948" spans="1:7">
      <c r="A948" s="1">
        <v>947</v>
      </c>
      <c r="B948" s="3" t="s">
        <v>2609</v>
      </c>
      <c r="C948" s="1" t="s">
        <v>1206</v>
      </c>
      <c r="D948" t="s">
        <v>2610</v>
      </c>
      <c r="E948" t="str">
        <f t="shared" si="27"/>
        <v>ROD-SF-head-325</v>
      </c>
      <c r="F948" s="10" t="s">
        <v>35</v>
      </c>
      <c r="G948" s="39" t="s">
        <v>1331</v>
      </c>
    </row>
    <row r="949" spans="1:7">
      <c r="A949" s="1">
        <v>948</v>
      </c>
      <c r="B949" s="3" t="s">
        <v>2611</v>
      </c>
      <c r="C949" s="1" t="s">
        <v>1206</v>
      </c>
      <c r="D949" t="s">
        <v>2612</v>
      </c>
      <c r="E949" t="str">
        <f t="shared" ref="E949:E962" si="28">C949&amp;D949</f>
        <v>ROD-SF-head-326</v>
      </c>
      <c r="F949" s="10" t="s">
        <v>35</v>
      </c>
      <c r="G949" s="39" t="s">
        <v>1331</v>
      </c>
    </row>
    <row r="950" spans="1:7">
      <c r="A950" s="1">
        <v>949</v>
      </c>
      <c r="B950" s="3" t="s">
        <v>2613</v>
      </c>
      <c r="C950" s="1" t="s">
        <v>1206</v>
      </c>
      <c r="D950" t="s">
        <v>2614</v>
      </c>
      <c r="E950" t="str">
        <f t="shared" si="28"/>
        <v>ROD-SF-head-327</v>
      </c>
      <c r="F950" s="10" t="s">
        <v>35</v>
      </c>
      <c r="G950" s="39" t="s">
        <v>1331</v>
      </c>
    </row>
    <row r="951" spans="1:7">
      <c r="A951" s="1">
        <v>950</v>
      </c>
      <c r="B951" s="3" t="s">
        <v>2615</v>
      </c>
      <c r="C951" s="1" t="s">
        <v>1206</v>
      </c>
      <c r="D951" t="s">
        <v>2616</v>
      </c>
      <c r="E951" t="str">
        <f t="shared" si="28"/>
        <v>ROD-SF-head-328</v>
      </c>
      <c r="F951" s="10" t="s">
        <v>35</v>
      </c>
      <c r="G951" s="39" t="s">
        <v>1331</v>
      </c>
    </row>
    <row r="952" spans="1:7">
      <c r="A952" s="1">
        <v>951</v>
      </c>
      <c r="B952" s="3" t="s">
        <v>2617</v>
      </c>
      <c r="C952" s="1" t="s">
        <v>1206</v>
      </c>
      <c r="D952" t="s">
        <v>2618</v>
      </c>
      <c r="E952" t="str">
        <f t="shared" si="28"/>
        <v>ROD-SF-head-329</v>
      </c>
      <c r="F952" s="10" t="s">
        <v>35</v>
      </c>
      <c r="G952" s="39" t="s">
        <v>1331</v>
      </c>
    </row>
    <row r="953" spans="1:7">
      <c r="A953" s="1">
        <v>952</v>
      </c>
      <c r="B953" s="3" t="s">
        <v>2619</v>
      </c>
      <c r="C953" s="1" t="s">
        <v>1206</v>
      </c>
      <c r="D953" t="s">
        <v>2620</v>
      </c>
      <c r="E953" t="str">
        <f t="shared" si="28"/>
        <v>ROD-SF-head-330</v>
      </c>
      <c r="F953" s="10" t="s">
        <v>35</v>
      </c>
      <c r="G953" s="39" t="s">
        <v>1331</v>
      </c>
    </row>
    <row r="954" spans="1:7">
      <c r="A954" s="1">
        <v>953</v>
      </c>
      <c r="B954" s="3" t="s">
        <v>2621</v>
      </c>
      <c r="C954" s="1" t="s">
        <v>1206</v>
      </c>
      <c r="D954" t="s">
        <v>2622</v>
      </c>
      <c r="E954" t="str">
        <f t="shared" si="28"/>
        <v>ROD-SF-head-331</v>
      </c>
      <c r="F954" s="10" t="s">
        <v>35</v>
      </c>
      <c r="G954" s="39" t="s">
        <v>1331</v>
      </c>
    </row>
    <row r="955" spans="1:7">
      <c r="A955" s="1">
        <v>954</v>
      </c>
      <c r="B955" s="3" t="s">
        <v>2623</v>
      </c>
      <c r="C955" s="1" t="s">
        <v>1206</v>
      </c>
      <c r="D955" t="s">
        <v>2624</v>
      </c>
      <c r="E955" t="str">
        <f t="shared" si="28"/>
        <v>ROD-SF-head-332</v>
      </c>
      <c r="F955" s="10" t="s">
        <v>35</v>
      </c>
      <c r="G955" s="39" t="s">
        <v>1331</v>
      </c>
    </row>
    <row r="956" spans="1:7">
      <c r="A956" s="1">
        <v>955</v>
      </c>
      <c r="B956" s="3" t="s">
        <v>2625</v>
      </c>
      <c r="C956" s="1" t="s">
        <v>1206</v>
      </c>
      <c r="D956" t="s">
        <v>2626</v>
      </c>
      <c r="E956" t="str">
        <f t="shared" si="28"/>
        <v>ROD-SF-head-333</v>
      </c>
      <c r="F956" s="10" t="s">
        <v>35</v>
      </c>
      <c r="G956" s="39" t="s">
        <v>1331</v>
      </c>
    </row>
    <row r="957" spans="1:7">
      <c r="A957" s="1">
        <v>956</v>
      </c>
      <c r="B957" s="3" t="s">
        <v>2627</v>
      </c>
      <c r="C957" s="1" t="s">
        <v>1206</v>
      </c>
      <c r="D957" t="s">
        <v>2628</v>
      </c>
      <c r="E957" t="str">
        <f t="shared" si="28"/>
        <v>ROD-SF-head-334</v>
      </c>
      <c r="F957" s="10" t="s">
        <v>35</v>
      </c>
      <c r="G957" s="39" t="s">
        <v>1331</v>
      </c>
    </row>
    <row r="958" spans="1:7">
      <c r="A958" s="1">
        <v>957</v>
      </c>
      <c r="B958" s="3" t="s">
        <v>2629</v>
      </c>
      <c r="C958" s="1" t="s">
        <v>1206</v>
      </c>
      <c r="D958" t="s">
        <v>2630</v>
      </c>
      <c r="E958" t="str">
        <f t="shared" si="28"/>
        <v>ROD-SF-head-335</v>
      </c>
      <c r="F958" s="10" t="s">
        <v>35</v>
      </c>
      <c r="G958" s="39" t="s">
        <v>1331</v>
      </c>
    </row>
    <row r="959" spans="1:7">
      <c r="A959" s="1">
        <v>958</v>
      </c>
      <c r="B959" s="3" t="s">
        <v>2631</v>
      </c>
      <c r="C959" s="1" t="s">
        <v>1206</v>
      </c>
      <c r="D959" t="s">
        <v>2632</v>
      </c>
      <c r="E959" t="str">
        <f t="shared" si="28"/>
        <v>ROD-SF-head-336</v>
      </c>
      <c r="F959" s="10" t="s">
        <v>14</v>
      </c>
      <c r="G959" s="39" t="s">
        <v>1331</v>
      </c>
    </row>
    <row r="960" spans="1:7">
      <c r="A960" s="1">
        <v>959</v>
      </c>
      <c r="B960" s="3" t="s">
        <v>2633</v>
      </c>
      <c r="C960" s="1" t="s">
        <v>1206</v>
      </c>
      <c r="D960" t="s">
        <v>2634</v>
      </c>
      <c r="E960" t="str">
        <f t="shared" si="28"/>
        <v>ROD-SF-head-337</v>
      </c>
      <c r="F960" s="10" t="s">
        <v>14</v>
      </c>
      <c r="G960" s="39" t="s">
        <v>1331</v>
      </c>
    </row>
    <row r="961" spans="1:7">
      <c r="A961" s="1">
        <v>960</v>
      </c>
      <c r="B961" s="3" t="s">
        <v>2635</v>
      </c>
      <c r="C961" s="1" t="s">
        <v>1206</v>
      </c>
      <c r="D961" t="s">
        <v>2636</v>
      </c>
      <c r="E961" t="str">
        <f t="shared" si="28"/>
        <v>ROD-SF-head-338</v>
      </c>
      <c r="F961" s="10" t="s">
        <v>35</v>
      </c>
      <c r="G961" s="39" t="s">
        <v>1331</v>
      </c>
    </row>
    <row r="962" spans="1:7">
      <c r="A962" s="1">
        <v>961</v>
      </c>
      <c r="B962" s="3" t="s">
        <v>2637</v>
      </c>
      <c r="C962" s="1" t="s">
        <v>1206</v>
      </c>
      <c r="D962" t="s">
        <v>2638</v>
      </c>
      <c r="E962" t="str">
        <f t="shared" si="28"/>
        <v>ROD-SF-head-339</v>
      </c>
      <c r="F962" s="10" t="s">
        <v>35</v>
      </c>
      <c r="G962" s="39" t="s">
        <v>1331</v>
      </c>
    </row>
    <row r="963" spans="1:7">
      <c r="A963" s="1">
        <v>962</v>
      </c>
      <c r="B963" s="3" t="s">
        <v>2639</v>
      </c>
      <c r="C963" s="1" t="s">
        <v>1206</v>
      </c>
      <c r="D963" t="s">
        <v>2640</v>
      </c>
      <c r="E963" t="str">
        <f t="shared" ref="E963:E966" si="29">C963&amp;D963</f>
        <v>ROD-SF-head-340</v>
      </c>
      <c r="F963" s="10" t="s">
        <v>35</v>
      </c>
      <c r="G963" s="39" t="s">
        <v>1331</v>
      </c>
    </row>
    <row r="964" spans="1:7">
      <c r="A964" s="1">
        <v>963</v>
      </c>
      <c r="B964" s="3" t="s">
        <v>2641</v>
      </c>
      <c r="C964" s="1" t="s">
        <v>1206</v>
      </c>
      <c r="D964" t="s">
        <v>2642</v>
      </c>
      <c r="E964" t="str">
        <f t="shared" si="29"/>
        <v>ROD-SF-head-341</v>
      </c>
      <c r="F964" s="10" t="s">
        <v>35</v>
      </c>
      <c r="G964" s="39" t="s">
        <v>1331</v>
      </c>
    </row>
    <row r="965" spans="1:7">
      <c r="A965" s="1">
        <v>964</v>
      </c>
      <c r="B965" s="3" t="s">
        <v>2643</v>
      </c>
      <c r="C965" s="1" t="s">
        <v>1206</v>
      </c>
      <c r="D965" t="s">
        <v>2644</v>
      </c>
      <c r="E965" t="str">
        <f t="shared" si="29"/>
        <v>ROD-SF-head-342</v>
      </c>
      <c r="F965" s="10" t="s">
        <v>35</v>
      </c>
      <c r="G965" s="39" t="s">
        <v>1331</v>
      </c>
    </row>
    <row r="966" spans="1:7">
      <c r="A966" s="1">
        <v>965</v>
      </c>
      <c r="B966" s="3" t="s">
        <v>2645</v>
      </c>
      <c r="C966" s="1" t="s">
        <v>1206</v>
      </c>
      <c r="D966" t="s">
        <v>2646</v>
      </c>
      <c r="E966" t="str">
        <f t="shared" si="29"/>
        <v>ROD-SF-head-343</v>
      </c>
      <c r="F966" s="10" t="s">
        <v>35</v>
      </c>
      <c r="G966" s="39" t="s">
        <v>1331</v>
      </c>
    </row>
    <row r="967" spans="1:7" ht="15.75">
      <c r="A967" s="1">
        <v>966</v>
      </c>
      <c r="B967" s="3" t="s">
        <v>2647</v>
      </c>
      <c r="C967" s="1" t="s">
        <v>1206</v>
      </c>
      <c r="D967" t="s">
        <v>2648</v>
      </c>
      <c r="E967" t="str">
        <f t="shared" ref="E967" si="30">C967&amp;D967</f>
        <v>ROD-SF-metast-45</v>
      </c>
      <c r="F967" s="10" t="s">
        <v>35</v>
      </c>
      <c r="G967" s="39" t="s">
        <v>1331</v>
      </c>
    </row>
    <row r="968" spans="1:7" ht="15.75">
      <c r="A968" s="1">
        <v>967</v>
      </c>
      <c r="B968" s="3" t="s">
        <v>2649</v>
      </c>
      <c r="C968" s="1" t="s">
        <v>1206</v>
      </c>
      <c r="D968" t="s">
        <v>2650</v>
      </c>
      <c r="E968" t="str">
        <f t="shared" ref="E968:E1031" si="31">C968&amp;D968</f>
        <v>ROD-SF-metast-46</v>
      </c>
      <c r="F968" s="10" t="s">
        <v>35</v>
      </c>
      <c r="G968" s="39" t="s">
        <v>1331</v>
      </c>
    </row>
    <row r="969" spans="1:7" ht="15.75">
      <c r="A969" s="1">
        <v>968</v>
      </c>
      <c r="B969" s="3" t="s">
        <v>2651</v>
      </c>
      <c r="C969" s="1" t="s">
        <v>1206</v>
      </c>
      <c r="D969" t="s">
        <v>2652</v>
      </c>
      <c r="E969" t="str">
        <f t="shared" si="31"/>
        <v>ROD-SF-metast-47</v>
      </c>
      <c r="F969" s="10" t="s">
        <v>65</v>
      </c>
      <c r="G969" s="39" t="s">
        <v>1331</v>
      </c>
    </row>
    <row r="970" spans="1:7" ht="15.75">
      <c r="A970" s="1">
        <v>969</v>
      </c>
      <c r="B970" s="3" t="s">
        <v>2653</v>
      </c>
      <c r="C970" s="1" t="s">
        <v>1206</v>
      </c>
      <c r="D970" t="s">
        <v>2654</v>
      </c>
      <c r="E970" t="str">
        <f t="shared" si="31"/>
        <v>ROD-SF-metast-48</v>
      </c>
      <c r="F970" s="10" t="s">
        <v>30</v>
      </c>
      <c r="G970" s="39" t="s">
        <v>1331</v>
      </c>
    </row>
    <row r="971" spans="1:7" ht="15.75">
      <c r="A971" s="1">
        <v>970</v>
      </c>
      <c r="B971" s="3" t="s">
        <v>2655</v>
      </c>
      <c r="C971" s="1" t="s">
        <v>1206</v>
      </c>
      <c r="D971" t="s">
        <v>2656</v>
      </c>
      <c r="E971" t="str">
        <f t="shared" si="31"/>
        <v>ROD-SF-metast-49</v>
      </c>
      <c r="F971" s="10" t="s">
        <v>9</v>
      </c>
      <c r="G971" s="39" t="s">
        <v>1331</v>
      </c>
    </row>
    <row r="972" spans="1:7" ht="15.75">
      <c r="A972" s="1">
        <v>971</v>
      </c>
      <c r="B972" s="3" t="s">
        <v>2657</v>
      </c>
      <c r="C972" s="1" t="s">
        <v>1206</v>
      </c>
      <c r="D972" t="s">
        <v>2658</v>
      </c>
      <c r="E972" t="str">
        <f t="shared" si="31"/>
        <v>ROD-SF-metast-50</v>
      </c>
      <c r="F972" s="10" t="s">
        <v>30</v>
      </c>
      <c r="G972" s="39" t="s">
        <v>1331</v>
      </c>
    </row>
    <row r="973" spans="1:7" ht="15.75">
      <c r="A973" s="1">
        <v>972</v>
      </c>
      <c r="B973" s="3" t="s">
        <v>2659</v>
      </c>
      <c r="C973" s="1" t="s">
        <v>1206</v>
      </c>
      <c r="D973" t="s">
        <v>2660</v>
      </c>
      <c r="E973" t="str">
        <f t="shared" si="31"/>
        <v>ROD-SF-metast-51</v>
      </c>
      <c r="F973" s="10" t="s">
        <v>30</v>
      </c>
      <c r="G973" s="39" t="s">
        <v>1331</v>
      </c>
    </row>
    <row r="974" spans="1:7" ht="15.75">
      <c r="A974" s="1">
        <v>973</v>
      </c>
      <c r="B974" s="3" t="s">
        <v>2661</v>
      </c>
      <c r="C974" s="1" t="s">
        <v>1206</v>
      </c>
      <c r="D974" t="s">
        <v>2662</v>
      </c>
      <c r="E974" t="str">
        <f t="shared" si="31"/>
        <v>ROD-SF-metast-52</v>
      </c>
      <c r="F974" s="10" t="s">
        <v>30</v>
      </c>
      <c r="G974" s="39" t="s">
        <v>1331</v>
      </c>
    </row>
    <row r="975" spans="1:7" ht="15.75">
      <c r="A975" s="1">
        <v>974</v>
      </c>
      <c r="B975" s="3" t="s">
        <v>2663</v>
      </c>
      <c r="C975" s="1" t="s">
        <v>1206</v>
      </c>
      <c r="D975" t="s">
        <v>2664</v>
      </c>
      <c r="E975" t="str">
        <f t="shared" si="31"/>
        <v>ROD-SF-metast-53</v>
      </c>
      <c r="F975" s="10" t="s">
        <v>30</v>
      </c>
      <c r="G975" s="39" t="s">
        <v>1331</v>
      </c>
    </row>
    <row r="976" spans="1:7" ht="15.75">
      <c r="A976" s="1">
        <v>975</v>
      </c>
      <c r="B976" s="3" t="s">
        <v>2665</v>
      </c>
      <c r="C976" s="1" t="s">
        <v>1206</v>
      </c>
      <c r="D976" t="s">
        <v>2666</v>
      </c>
      <c r="E976" t="str">
        <f t="shared" si="31"/>
        <v>ROD-SF-metast-54</v>
      </c>
      <c r="F976" s="10" t="s">
        <v>9</v>
      </c>
      <c r="G976" s="39" t="s">
        <v>1331</v>
      </c>
    </row>
    <row r="977" spans="1:7" ht="15.75">
      <c r="A977" s="1">
        <v>976</v>
      </c>
      <c r="B977" s="3" t="s">
        <v>2667</v>
      </c>
      <c r="C977" s="1" t="s">
        <v>1206</v>
      </c>
      <c r="D977" t="s">
        <v>2668</v>
      </c>
      <c r="E977" t="str">
        <f t="shared" si="31"/>
        <v>ROD-SF-metast-55</v>
      </c>
      <c r="F977" s="10" t="s">
        <v>65</v>
      </c>
      <c r="G977" s="39" t="s">
        <v>1331</v>
      </c>
    </row>
    <row r="978" spans="1:7" ht="15.75">
      <c r="A978" s="1">
        <v>977</v>
      </c>
      <c r="B978" s="3" t="s">
        <v>2669</v>
      </c>
      <c r="C978" s="1" t="s">
        <v>1206</v>
      </c>
      <c r="D978" t="s">
        <v>2670</v>
      </c>
      <c r="E978" t="str">
        <f t="shared" si="31"/>
        <v>ROD-SF-metast-56</v>
      </c>
      <c r="F978" s="10" t="s">
        <v>65</v>
      </c>
      <c r="G978" s="39" t="s">
        <v>1331</v>
      </c>
    </row>
    <row r="979" spans="1:7" ht="15.75">
      <c r="A979" s="1">
        <v>978</v>
      </c>
      <c r="B979" s="3" t="s">
        <v>2671</v>
      </c>
      <c r="C979" s="1" t="s">
        <v>1206</v>
      </c>
      <c r="D979" t="s">
        <v>2672</v>
      </c>
      <c r="E979" t="str">
        <f t="shared" si="31"/>
        <v>ROD-SF-metast-57</v>
      </c>
      <c r="F979" s="10" t="s">
        <v>65</v>
      </c>
      <c r="G979" s="39" t="s">
        <v>1331</v>
      </c>
    </row>
    <row r="980" spans="1:7" ht="15.75">
      <c r="A980" s="1">
        <v>979</v>
      </c>
      <c r="B980" s="3" t="s">
        <v>2673</v>
      </c>
      <c r="C980" s="1" t="s">
        <v>1206</v>
      </c>
      <c r="D980" t="s">
        <v>2674</v>
      </c>
      <c r="E980" t="str">
        <f t="shared" si="31"/>
        <v>ROD-SF-metast-58</v>
      </c>
      <c r="F980" s="10" t="s">
        <v>26</v>
      </c>
      <c r="G980" s="39" t="s">
        <v>1331</v>
      </c>
    </row>
    <row r="981" spans="1:7" ht="15.75">
      <c r="A981" s="1">
        <v>980</v>
      </c>
      <c r="B981" s="3" t="s">
        <v>2675</v>
      </c>
      <c r="C981" s="1" t="s">
        <v>1206</v>
      </c>
      <c r="D981" t="s">
        <v>2676</v>
      </c>
      <c r="E981" t="str">
        <f t="shared" si="31"/>
        <v>ROD-SF-metast-59</v>
      </c>
      <c r="F981" s="10" t="s">
        <v>65</v>
      </c>
      <c r="G981" s="39" t="s">
        <v>1331</v>
      </c>
    </row>
    <row r="982" spans="1:7" ht="15.75">
      <c r="A982" s="1">
        <v>981</v>
      </c>
      <c r="B982" s="3" t="s">
        <v>2677</v>
      </c>
      <c r="C982" s="1" t="s">
        <v>1206</v>
      </c>
      <c r="D982" t="s">
        <v>2678</v>
      </c>
      <c r="E982" t="str">
        <f t="shared" si="31"/>
        <v>ROD-SF-metast-60</v>
      </c>
      <c r="F982" s="10" t="s">
        <v>35</v>
      </c>
      <c r="G982" s="39" t="s">
        <v>1331</v>
      </c>
    </row>
    <row r="983" spans="1:7" ht="15.75">
      <c r="A983" s="1">
        <v>982</v>
      </c>
      <c r="B983" s="3" t="s">
        <v>2679</v>
      </c>
      <c r="C983" s="1" t="s">
        <v>1206</v>
      </c>
      <c r="D983" t="s">
        <v>2680</v>
      </c>
      <c r="E983" t="str">
        <f t="shared" si="31"/>
        <v>ROD-SF-metast-61</v>
      </c>
      <c r="F983" s="10" t="s">
        <v>35</v>
      </c>
      <c r="G983" s="39" t="s">
        <v>1331</v>
      </c>
    </row>
    <row r="984" spans="1:7" ht="15.75">
      <c r="A984" s="1">
        <v>983</v>
      </c>
      <c r="B984" s="3" t="s">
        <v>2681</v>
      </c>
      <c r="C984" s="1" t="s">
        <v>1206</v>
      </c>
      <c r="D984" t="s">
        <v>2682</v>
      </c>
      <c r="E984" t="str">
        <f t="shared" si="31"/>
        <v>ROD-SF-metast-62</v>
      </c>
      <c r="F984" s="10" t="s">
        <v>35</v>
      </c>
      <c r="G984" s="39" t="s">
        <v>1331</v>
      </c>
    </row>
    <row r="985" spans="1:7" ht="15.75">
      <c r="A985" s="1">
        <v>984</v>
      </c>
      <c r="B985" s="3" t="s">
        <v>2683</v>
      </c>
      <c r="C985" s="1" t="s">
        <v>1206</v>
      </c>
      <c r="D985" t="s">
        <v>2684</v>
      </c>
      <c r="E985" t="str">
        <f t="shared" si="31"/>
        <v>ROD-SF-metast-63</v>
      </c>
      <c r="F985" s="10" t="s">
        <v>35</v>
      </c>
      <c r="G985" s="39" t="s">
        <v>1331</v>
      </c>
    </row>
    <row r="986" spans="1:7" ht="15.75">
      <c r="A986" s="1">
        <v>985</v>
      </c>
      <c r="B986" s="3" t="s">
        <v>2685</v>
      </c>
      <c r="C986" s="1" t="s">
        <v>1206</v>
      </c>
      <c r="D986" t="s">
        <v>2686</v>
      </c>
      <c r="E986" t="str">
        <f t="shared" si="31"/>
        <v>ROD-SF-metast-64</v>
      </c>
      <c r="F986" s="10" t="s">
        <v>35</v>
      </c>
      <c r="G986" s="39" t="s">
        <v>1331</v>
      </c>
    </row>
    <row r="987" spans="1:7" ht="15.75">
      <c r="A987" s="1">
        <v>986</v>
      </c>
      <c r="B987" s="3" t="s">
        <v>2687</v>
      </c>
      <c r="C987" s="1" t="s">
        <v>1206</v>
      </c>
      <c r="D987" t="s">
        <v>2688</v>
      </c>
      <c r="E987" t="str">
        <f t="shared" si="31"/>
        <v>ROD-SF-metast-65</v>
      </c>
      <c r="F987" s="10" t="s">
        <v>14</v>
      </c>
      <c r="G987" s="39" t="s">
        <v>1331</v>
      </c>
    </row>
    <row r="988" spans="1:7" ht="15.75">
      <c r="A988" s="1">
        <v>987</v>
      </c>
      <c r="B988" s="3" t="s">
        <v>2689</v>
      </c>
      <c r="C988" s="1" t="s">
        <v>1206</v>
      </c>
      <c r="D988" t="s">
        <v>2690</v>
      </c>
      <c r="E988" t="str">
        <f t="shared" si="31"/>
        <v>ROD-SF-metast-66</v>
      </c>
      <c r="F988" s="10" t="s">
        <v>14</v>
      </c>
      <c r="G988" s="39" t="s">
        <v>1331</v>
      </c>
    </row>
    <row r="989" spans="1:7" ht="15.75">
      <c r="A989" s="1">
        <v>988</v>
      </c>
      <c r="B989" s="3" t="s">
        <v>2691</v>
      </c>
      <c r="C989" s="1" t="s">
        <v>1206</v>
      </c>
      <c r="D989" t="s">
        <v>2692</v>
      </c>
      <c r="E989" t="str">
        <f t="shared" si="31"/>
        <v>ROD-SF-metast-67</v>
      </c>
      <c r="F989" s="10" t="s">
        <v>14</v>
      </c>
      <c r="G989" s="39" t="s">
        <v>1331</v>
      </c>
    </row>
    <row r="990" spans="1:7" ht="15.75">
      <c r="A990" s="1">
        <v>989</v>
      </c>
      <c r="B990" s="3" t="s">
        <v>2693</v>
      </c>
      <c r="C990" s="1" t="s">
        <v>1206</v>
      </c>
      <c r="D990" t="s">
        <v>2694</v>
      </c>
      <c r="E990" t="str">
        <f t="shared" si="31"/>
        <v>ROD-SF-metast-68</v>
      </c>
      <c r="F990" s="10" t="s">
        <v>35</v>
      </c>
      <c r="G990" s="10" t="s">
        <v>2148</v>
      </c>
    </row>
    <row r="991" spans="1:7" ht="15.75">
      <c r="A991" s="1">
        <v>990</v>
      </c>
      <c r="B991" s="3" t="s">
        <v>2695</v>
      </c>
      <c r="C991" s="1" t="s">
        <v>1206</v>
      </c>
      <c r="D991" t="s">
        <v>2696</v>
      </c>
      <c r="E991" t="str">
        <f t="shared" si="31"/>
        <v>ROD-SF-metast-69</v>
      </c>
      <c r="F991" s="10" t="s">
        <v>14</v>
      </c>
      <c r="G991" s="39" t="s">
        <v>1331</v>
      </c>
    </row>
    <row r="992" spans="1:7" ht="15.75">
      <c r="A992" s="1">
        <v>991</v>
      </c>
      <c r="B992" s="3" t="s">
        <v>2697</v>
      </c>
      <c r="C992" s="1" t="s">
        <v>1206</v>
      </c>
      <c r="D992" t="s">
        <v>2698</v>
      </c>
      <c r="E992" t="str">
        <f t="shared" si="31"/>
        <v>ROD-SF-metast-70</v>
      </c>
      <c r="F992" s="10" t="s">
        <v>35</v>
      </c>
      <c r="G992" s="39" t="s">
        <v>1331</v>
      </c>
    </row>
    <row r="993" spans="1:7" ht="15.75">
      <c r="A993" s="1">
        <v>992</v>
      </c>
      <c r="B993" s="3" t="s">
        <v>2699</v>
      </c>
      <c r="C993" s="1" t="s">
        <v>1206</v>
      </c>
      <c r="D993" t="s">
        <v>2700</v>
      </c>
      <c r="E993" t="str">
        <f t="shared" si="31"/>
        <v>ROD-SF-metast-71</v>
      </c>
      <c r="F993" s="10" t="s">
        <v>65</v>
      </c>
      <c r="G993" s="39" t="s">
        <v>1331</v>
      </c>
    </row>
    <row r="994" spans="1:7" ht="15.75">
      <c r="A994" s="1">
        <v>993</v>
      </c>
      <c r="B994" s="3" t="s">
        <v>2701</v>
      </c>
      <c r="C994" s="1" t="s">
        <v>1206</v>
      </c>
      <c r="D994" t="s">
        <v>2702</v>
      </c>
      <c r="E994" t="str">
        <f t="shared" si="31"/>
        <v>ROD-SF-metast-72</v>
      </c>
      <c r="F994" s="10" t="s">
        <v>65</v>
      </c>
      <c r="G994" s="39" t="s">
        <v>1331</v>
      </c>
    </row>
    <row r="995" spans="1:7" ht="15.75">
      <c r="A995" s="1">
        <v>994</v>
      </c>
      <c r="B995" s="3" t="s">
        <v>2703</v>
      </c>
      <c r="C995" s="1" t="s">
        <v>1206</v>
      </c>
      <c r="D995" t="s">
        <v>2704</v>
      </c>
      <c r="E995" t="str">
        <f t="shared" si="31"/>
        <v>ROD-SF-metast-73</v>
      </c>
      <c r="F995" s="10" t="s">
        <v>65</v>
      </c>
      <c r="G995" s="39" t="s">
        <v>1331</v>
      </c>
    </row>
    <row r="996" spans="1:7" ht="15.75">
      <c r="A996" s="1">
        <v>995</v>
      </c>
      <c r="B996" s="3" t="s">
        <v>2705</v>
      </c>
      <c r="C996" s="1" t="s">
        <v>1206</v>
      </c>
      <c r="D996" t="s">
        <v>2706</v>
      </c>
      <c r="E996" t="str">
        <f t="shared" si="31"/>
        <v>ROD-SF-metast-74</v>
      </c>
      <c r="F996" s="10" t="s">
        <v>35</v>
      </c>
      <c r="G996" s="39" t="s">
        <v>1331</v>
      </c>
    </row>
    <row r="997" spans="1:7" ht="15.75">
      <c r="A997" s="1">
        <v>996</v>
      </c>
      <c r="B997" s="3" t="s">
        <v>2707</v>
      </c>
      <c r="C997" s="1" t="s">
        <v>1206</v>
      </c>
      <c r="D997" t="s">
        <v>2708</v>
      </c>
      <c r="E997" t="str">
        <f t="shared" si="31"/>
        <v>ROD-SF-metast-75</v>
      </c>
      <c r="F997" s="10" t="s">
        <v>30</v>
      </c>
      <c r="G997" s="39" t="s">
        <v>1331</v>
      </c>
    </row>
    <row r="998" spans="1:7" ht="15.75">
      <c r="A998" s="1">
        <v>997</v>
      </c>
      <c r="B998" s="3" t="s">
        <v>2709</v>
      </c>
      <c r="C998" s="1" t="s">
        <v>1206</v>
      </c>
      <c r="D998" t="s">
        <v>2710</v>
      </c>
      <c r="E998" t="str">
        <f t="shared" si="31"/>
        <v>ROD-SF-metast-76</v>
      </c>
      <c r="F998" s="10" t="s">
        <v>14</v>
      </c>
      <c r="G998" s="39" t="s">
        <v>1331</v>
      </c>
    </row>
    <row r="999" spans="1:7" ht="15.75">
      <c r="A999" s="1">
        <v>998</v>
      </c>
      <c r="B999" s="3" t="s">
        <v>2711</v>
      </c>
      <c r="C999" s="1" t="s">
        <v>1206</v>
      </c>
      <c r="D999" t="s">
        <v>2712</v>
      </c>
      <c r="E999" t="str">
        <f t="shared" si="31"/>
        <v>ROD-SF-metast-77</v>
      </c>
      <c r="F999" s="10" t="s">
        <v>30</v>
      </c>
      <c r="G999" s="39" t="s">
        <v>1331</v>
      </c>
    </row>
    <row r="1000" spans="1:7" ht="15.75">
      <c r="A1000" s="1">
        <v>999</v>
      </c>
      <c r="B1000" s="3" t="s">
        <v>2713</v>
      </c>
      <c r="C1000" s="1" t="s">
        <v>1206</v>
      </c>
      <c r="D1000" t="s">
        <v>2714</v>
      </c>
      <c r="E1000" t="str">
        <f t="shared" si="31"/>
        <v>ROD-SF-metast-78</v>
      </c>
      <c r="F1000" s="10" t="s">
        <v>30</v>
      </c>
      <c r="G1000" s="39" t="s">
        <v>1331</v>
      </c>
    </row>
    <row r="1001" spans="1:7" ht="15.75">
      <c r="A1001" s="1">
        <v>1000</v>
      </c>
      <c r="B1001" s="3" t="s">
        <v>2715</v>
      </c>
      <c r="C1001" s="1" t="s">
        <v>1206</v>
      </c>
      <c r="D1001" t="s">
        <v>2716</v>
      </c>
      <c r="E1001" t="str">
        <f t="shared" si="31"/>
        <v>ROD-SF-metast-79</v>
      </c>
      <c r="F1001" s="10" t="s">
        <v>14</v>
      </c>
      <c r="G1001" s="39" t="s">
        <v>1331</v>
      </c>
    </row>
    <row r="1002" spans="1:7" ht="15.75">
      <c r="A1002" s="1">
        <v>1001</v>
      </c>
      <c r="B1002" s="3" t="s">
        <v>2717</v>
      </c>
      <c r="C1002" s="1" t="s">
        <v>1206</v>
      </c>
      <c r="D1002" t="s">
        <v>2718</v>
      </c>
      <c r="E1002" t="str">
        <f t="shared" si="31"/>
        <v>ROD-SF-metast-80</v>
      </c>
      <c r="F1002" s="10" t="s">
        <v>35</v>
      </c>
      <c r="G1002" s="39" t="s">
        <v>1331</v>
      </c>
    </row>
    <row r="1003" spans="1:7" ht="15.75">
      <c r="A1003" s="1">
        <v>1002</v>
      </c>
      <c r="B1003" s="3" t="s">
        <v>2719</v>
      </c>
      <c r="C1003" s="1" t="s">
        <v>1206</v>
      </c>
      <c r="D1003" t="s">
        <v>2720</v>
      </c>
      <c r="E1003" t="str">
        <f t="shared" si="31"/>
        <v>ROD-SF-metast-81</v>
      </c>
      <c r="F1003" s="10" t="s">
        <v>26</v>
      </c>
      <c r="G1003" s="39" t="s">
        <v>1331</v>
      </c>
    </row>
    <row r="1004" spans="1:7" ht="15.75">
      <c r="A1004" s="1">
        <v>1003</v>
      </c>
      <c r="B1004" s="3" t="s">
        <v>2721</v>
      </c>
      <c r="C1004" s="1" t="s">
        <v>1206</v>
      </c>
      <c r="D1004" t="s">
        <v>2722</v>
      </c>
      <c r="E1004" t="str">
        <f t="shared" si="31"/>
        <v>ROD-SF-metast-82</v>
      </c>
      <c r="F1004" s="10" t="s">
        <v>14</v>
      </c>
      <c r="G1004" s="39" t="s">
        <v>1331</v>
      </c>
    </row>
    <row r="1005" spans="1:7" ht="15.75">
      <c r="A1005" s="1">
        <v>1004</v>
      </c>
      <c r="B1005" s="3" t="s">
        <v>2723</v>
      </c>
      <c r="C1005" s="1" t="s">
        <v>1206</v>
      </c>
      <c r="D1005" t="s">
        <v>2724</v>
      </c>
      <c r="E1005" t="str">
        <f t="shared" si="31"/>
        <v>ROD-SF-metast-83</v>
      </c>
      <c r="F1005" s="10" t="s">
        <v>14</v>
      </c>
      <c r="G1005" s="39" t="s">
        <v>1331</v>
      </c>
    </row>
    <row r="1006" spans="1:7" ht="15.75">
      <c r="A1006" s="1">
        <v>1005</v>
      </c>
      <c r="B1006" s="3" t="s">
        <v>2725</v>
      </c>
      <c r="C1006" s="1" t="s">
        <v>1206</v>
      </c>
      <c r="D1006" t="s">
        <v>2726</v>
      </c>
      <c r="E1006" t="str">
        <f t="shared" si="31"/>
        <v>ROD-SF-metast-84</v>
      </c>
      <c r="F1006" s="10" t="s">
        <v>35</v>
      </c>
      <c r="G1006" s="39" t="s">
        <v>1331</v>
      </c>
    </row>
    <row r="1007" spans="1:7" ht="15.75">
      <c r="A1007" s="1">
        <v>1006</v>
      </c>
      <c r="B1007" s="3" t="s">
        <v>2727</v>
      </c>
      <c r="C1007" s="1" t="s">
        <v>1206</v>
      </c>
      <c r="D1007" t="s">
        <v>2728</v>
      </c>
      <c r="E1007" t="str">
        <f t="shared" si="31"/>
        <v>ROD-SF-metast-85</v>
      </c>
      <c r="F1007" s="10" t="s">
        <v>35</v>
      </c>
      <c r="G1007" s="39" t="s">
        <v>1331</v>
      </c>
    </row>
    <row r="1008" spans="1:7" ht="15.75">
      <c r="A1008" s="1">
        <v>1007</v>
      </c>
      <c r="B1008" s="3" t="s">
        <v>2729</v>
      </c>
      <c r="C1008" s="1" t="s">
        <v>1206</v>
      </c>
      <c r="D1008" t="s">
        <v>2730</v>
      </c>
      <c r="E1008" t="str">
        <f t="shared" si="31"/>
        <v>ROD-SF-metast-86</v>
      </c>
      <c r="F1008" s="10" t="s">
        <v>65</v>
      </c>
      <c r="G1008" s="39" t="s">
        <v>1331</v>
      </c>
    </row>
    <row r="1009" spans="1:7" ht="15.75">
      <c r="A1009" s="1">
        <v>1008</v>
      </c>
      <c r="B1009" s="3" t="s">
        <v>2731</v>
      </c>
      <c r="C1009" s="1" t="s">
        <v>1206</v>
      </c>
      <c r="D1009" t="s">
        <v>2732</v>
      </c>
      <c r="E1009" t="str">
        <f t="shared" si="31"/>
        <v>ROD-SF-metast-87</v>
      </c>
      <c r="F1009" s="10" t="s">
        <v>35</v>
      </c>
      <c r="G1009" s="39" t="s">
        <v>1331</v>
      </c>
    </row>
    <row r="1010" spans="1:7" ht="15.75">
      <c r="A1010" s="1">
        <v>1009</v>
      </c>
      <c r="B1010" s="3" t="s">
        <v>2733</v>
      </c>
      <c r="C1010" s="1" t="s">
        <v>1206</v>
      </c>
      <c r="D1010" t="s">
        <v>2734</v>
      </c>
      <c r="E1010" t="str">
        <f t="shared" si="31"/>
        <v>ROD-SF-metast-88</v>
      </c>
      <c r="F1010" s="10" t="s">
        <v>35</v>
      </c>
      <c r="G1010" s="39" t="s">
        <v>1331</v>
      </c>
    </row>
    <row r="1011" spans="1:7" ht="15.75">
      <c r="A1011" s="1">
        <v>1010</v>
      </c>
      <c r="B1011" s="3" t="s">
        <v>2735</v>
      </c>
      <c r="C1011" s="1" t="s">
        <v>1206</v>
      </c>
      <c r="D1011" t="s">
        <v>2736</v>
      </c>
      <c r="E1011" t="str">
        <f t="shared" si="31"/>
        <v>ROD-SF-metast-89</v>
      </c>
      <c r="F1011" s="10" t="s">
        <v>35</v>
      </c>
      <c r="G1011" s="39" t="s">
        <v>1331</v>
      </c>
    </row>
    <row r="1012" spans="1:7" ht="15.75">
      <c r="A1012" s="1">
        <v>1011</v>
      </c>
      <c r="B1012" s="3" t="s">
        <v>2737</v>
      </c>
      <c r="C1012" s="1" t="s">
        <v>1206</v>
      </c>
      <c r="D1012" t="s">
        <v>2738</v>
      </c>
      <c r="E1012" t="str">
        <f t="shared" si="31"/>
        <v>ROD-SF-metast-90</v>
      </c>
      <c r="F1012" s="10" t="s">
        <v>35</v>
      </c>
      <c r="G1012" s="39" t="s">
        <v>1331</v>
      </c>
    </row>
    <row r="1013" spans="1:7" ht="15.75">
      <c r="A1013" s="1">
        <v>1012</v>
      </c>
      <c r="B1013" s="3" t="s">
        <v>2739</v>
      </c>
      <c r="C1013" s="1" t="s">
        <v>1206</v>
      </c>
      <c r="D1013" t="s">
        <v>2740</v>
      </c>
      <c r="E1013" t="str">
        <f t="shared" si="31"/>
        <v>ROD-SF-metast-91</v>
      </c>
      <c r="F1013" s="10" t="s">
        <v>26</v>
      </c>
      <c r="G1013" s="39" t="s">
        <v>1331</v>
      </c>
    </row>
    <row r="1014" spans="1:7" ht="15.75">
      <c r="A1014" s="1">
        <v>1013</v>
      </c>
      <c r="B1014" s="3" t="s">
        <v>2741</v>
      </c>
      <c r="C1014" s="1" t="s">
        <v>1206</v>
      </c>
      <c r="D1014" t="s">
        <v>2742</v>
      </c>
      <c r="E1014" t="str">
        <f t="shared" si="31"/>
        <v>ROD-SF-metast-92</v>
      </c>
      <c r="F1014" s="10" t="s">
        <v>26</v>
      </c>
      <c r="G1014" s="39" t="s">
        <v>1331</v>
      </c>
    </row>
    <row r="1015" spans="1:7" ht="15.75">
      <c r="A1015" s="1">
        <v>1014</v>
      </c>
      <c r="B1015" s="3" t="s">
        <v>2743</v>
      </c>
      <c r="C1015" s="1" t="s">
        <v>1206</v>
      </c>
      <c r="D1015" t="s">
        <v>2744</v>
      </c>
      <c r="E1015" t="str">
        <f t="shared" si="31"/>
        <v>ROD-SF-metast-93</v>
      </c>
      <c r="F1015" s="10" t="s">
        <v>35</v>
      </c>
      <c r="G1015" s="39" t="s">
        <v>1331</v>
      </c>
    </row>
    <row r="1016" spans="1:7" ht="15.75">
      <c r="A1016" s="1">
        <v>1015</v>
      </c>
      <c r="B1016" s="3" t="s">
        <v>2745</v>
      </c>
      <c r="C1016" s="1" t="s">
        <v>1206</v>
      </c>
      <c r="D1016" t="s">
        <v>2746</v>
      </c>
      <c r="E1016" t="str">
        <f t="shared" si="31"/>
        <v>ROD-SF-metast-94</v>
      </c>
      <c r="F1016" s="10" t="s">
        <v>35</v>
      </c>
      <c r="G1016" s="39" t="s">
        <v>1331</v>
      </c>
    </row>
    <row r="1017" spans="1:7" ht="15.75">
      <c r="A1017" s="1">
        <v>1016</v>
      </c>
      <c r="B1017" s="3" t="s">
        <v>2747</v>
      </c>
      <c r="C1017" s="1" t="s">
        <v>1206</v>
      </c>
      <c r="D1017" t="s">
        <v>2748</v>
      </c>
      <c r="E1017" t="str">
        <f t="shared" si="31"/>
        <v>ROD-SF-metast-95</v>
      </c>
      <c r="F1017" s="10" t="s">
        <v>35</v>
      </c>
      <c r="G1017" s="39" t="s">
        <v>1331</v>
      </c>
    </row>
    <row r="1018" spans="1:7" ht="15.75">
      <c r="A1018" s="1">
        <v>1017</v>
      </c>
      <c r="B1018" s="3" t="s">
        <v>2749</v>
      </c>
      <c r="C1018" s="1" t="s">
        <v>1206</v>
      </c>
      <c r="D1018" t="s">
        <v>2750</v>
      </c>
      <c r="E1018" t="str">
        <f t="shared" si="31"/>
        <v>ROD-SF-metast-96</v>
      </c>
      <c r="F1018" s="10" t="s">
        <v>35</v>
      </c>
      <c r="G1018" s="39" t="s">
        <v>1331</v>
      </c>
    </row>
    <row r="1019" spans="1:7" ht="15.75">
      <c r="A1019" s="1">
        <v>1018</v>
      </c>
      <c r="B1019" s="3" t="s">
        <v>2751</v>
      </c>
      <c r="C1019" s="1" t="s">
        <v>1206</v>
      </c>
      <c r="D1019" t="s">
        <v>2752</v>
      </c>
      <c r="E1019" t="str">
        <f t="shared" si="31"/>
        <v>ROD-SF-metast-97</v>
      </c>
      <c r="F1019" s="10" t="s">
        <v>26</v>
      </c>
      <c r="G1019" s="39" t="s">
        <v>1331</v>
      </c>
    </row>
    <row r="1020" spans="1:7" ht="15.75">
      <c r="A1020" s="1">
        <v>1019</v>
      </c>
      <c r="B1020" s="3" t="s">
        <v>2753</v>
      </c>
      <c r="C1020" s="1" t="s">
        <v>1206</v>
      </c>
      <c r="D1020" t="s">
        <v>2754</v>
      </c>
      <c r="E1020" t="str">
        <f t="shared" si="31"/>
        <v>ROD-SF-metast-98</v>
      </c>
      <c r="F1020" s="10" t="s">
        <v>35</v>
      </c>
      <c r="G1020" s="39" t="s">
        <v>1331</v>
      </c>
    </row>
    <row r="1021" spans="1:7" ht="15.75">
      <c r="A1021" s="1">
        <v>1020</v>
      </c>
      <c r="B1021" s="3" t="s">
        <v>2755</v>
      </c>
      <c r="C1021" s="1" t="s">
        <v>1206</v>
      </c>
      <c r="D1021" t="s">
        <v>2756</v>
      </c>
      <c r="E1021" t="str">
        <f t="shared" si="31"/>
        <v>ROD-SF-metast-99</v>
      </c>
      <c r="F1021" s="10" t="s">
        <v>65</v>
      </c>
      <c r="G1021" s="39" t="s">
        <v>1331</v>
      </c>
    </row>
    <row r="1022" spans="1:7" ht="15.75">
      <c r="A1022" s="1">
        <v>1021</v>
      </c>
      <c r="B1022" s="3" t="s">
        <v>2757</v>
      </c>
      <c r="C1022" s="1" t="s">
        <v>1206</v>
      </c>
      <c r="D1022" t="s">
        <v>2758</v>
      </c>
      <c r="E1022" t="str">
        <f t="shared" si="31"/>
        <v>ROD-SF-metast-100</v>
      </c>
      <c r="F1022" s="10" t="s">
        <v>35</v>
      </c>
      <c r="G1022" s="39" t="s">
        <v>1331</v>
      </c>
    </row>
    <row r="1023" spans="1:7" ht="15.75">
      <c r="A1023" s="1">
        <v>1022</v>
      </c>
      <c r="B1023" s="3" t="s">
        <v>2759</v>
      </c>
      <c r="C1023" s="1" t="s">
        <v>1206</v>
      </c>
      <c r="D1023" t="s">
        <v>2760</v>
      </c>
      <c r="E1023" t="str">
        <f t="shared" si="31"/>
        <v>ROD-SF-metast-101</v>
      </c>
      <c r="F1023" s="10" t="s">
        <v>35</v>
      </c>
      <c r="G1023" s="39" t="s">
        <v>1331</v>
      </c>
    </row>
    <row r="1024" spans="1:7" ht="15.75">
      <c r="A1024" s="1">
        <v>1023</v>
      </c>
      <c r="B1024" s="3" t="s">
        <v>2761</v>
      </c>
      <c r="C1024" s="1" t="s">
        <v>1206</v>
      </c>
      <c r="D1024" t="s">
        <v>2762</v>
      </c>
      <c r="E1024" t="str">
        <f t="shared" si="31"/>
        <v>ROD-SF-metast-102</v>
      </c>
      <c r="F1024" s="10" t="s">
        <v>35</v>
      </c>
      <c r="G1024" s="39" t="s">
        <v>1331</v>
      </c>
    </row>
    <row r="1025" spans="1:7" ht="15.75">
      <c r="A1025" s="1">
        <v>1024</v>
      </c>
      <c r="B1025" s="3" t="s">
        <v>2763</v>
      </c>
      <c r="C1025" s="1" t="s">
        <v>1206</v>
      </c>
      <c r="D1025" t="s">
        <v>2764</v>
      </c>
      <c r="E1025" t="str">
        <f t="shared" si="31"/>
        <v>ROD-SF-metast-103</v>
      </c>
      <c r="F1025" s="10" t="s">
        <v>35</v>
      </c>
      <c r="G1025" s="39" t="s">
        <v>1331</v>
      </c>
    </row>
    <row r="1026" spans="1:7" ht="15.75">
      <c r="A1026" s="1">
        <v>1025</v>
      </c>
      <c r="B1026" s="3" t="s">
        <v>2765</v>
      </c>
      <c r="C1026" s="1" t="s">
        <v>1206</v>
      </c>
      <c r="D1026" t="s">
        <v>2766</v>
      </c>
      <c r="E1026" t="str">
        <f t="shared" si="31"/>
        <v>ROD-SF-metast-104</v>
      </c>
      <c r="F1026" s="10" t="s">
        <v>65</v>
      </c>
      <c r="G1026" s="39" t="s">
        <v>1331</v>
      </c>
    </row>
    <row r="1027" spans="1:7" ht="15.75">
      <c r="A1027" s="1">
        <v>1026</v>
      </c>
      <c r="B1027" s="3" t="s">
        <v>2767</v>
      </c>
      <c r="C1027" s="1" t="s">
        <v>1206</v>
      </c>
      <c r="D1027" t="s">
        <v>2768</v>
      </c>
      <c r="E1027" t="str">
        <f t="shared" si="31"/>
        <v>ROD-SF-metast-105</v>
      </c>
      <c r="F1027" s="10" t="s">
        <v>35</v>
      </c>
      <c r="G1027" s="39" t="s">
        <v>1331</v>
      </c>
    </row>
    <row r="1028" spans="1:7" ht="15.75">
      <c r="A1028" s="1">
        <v>1027</v>
      </c>
      <c r="B1028" s="3" t="s">
        <v>2769</v>
      </c>
      <c r="C1028" s="1" t="s">
        <v>1206</v>
      </c>
      <c r="D1028" t="s">
        <v>2770</v>
      </c>
      <c r="E1028" t="str">
        <f t="shared" si="31"/>
        <v>ROD-SF-metast-106</v>
      </c>
      <c r="F1028" s="10" t="s">
        <v>65</v>
      </c>
      <c r="G1028" s="39" t="s">
        <v>1331</v>
      </c>
    </row>
    <row r="1029" spans="1:7" ht="15.75">
      <c r="A1029" s="1">
        <v>1028</v>
      </c>
      <c r="B1029" s="3" t="s">
        <v>2771</v>
      </c>
      <c r="C1029" s="1" t="s">
        <v>1206</v>
      </c>
      <c r="D1029" t="s">
        <v>2772</v>
      </c>
      <c r="E1029" t="str">
        <f t="shared" si="31"/>
        <v>ROD-SF-metast-107</v>
      </c>
      <c r="F1029" s="10" t="s">
        <v>35</v>
      </c>
      <c r="G1029" s="39" t="s">
        <v>1331</v>
      </c>
    </row>
    <row r="1030" spans="1:7" ht="15.75">
      <c r="A1030" s="1">
        <v>1029</v>
      </c>
      <c r="B1030" s="3" t="s">
        <v>2773</v>
      </c>
      <c r="C1030" s="1" t="s">
        <v>1206</v>
      </c>
      <c r="D1030" t="s">
        <v>2774</v>
      </c>
      <c r="E1030" t="str">
        <f t="shared" si="31"/>
        <v>ROD-SF-metast-108</v>
      </c>
      <c r="F1030" s="10" t="s">
        <v>65</v>
      </c>
      <c r="G1030" s="39" t="s">
        <v>1331</v>
      </c>
    </row>
    <row r="1031" spans="1:7" ht="15.75">
      <c r="A1031" s="1">
        <v>1030</v>
      </c>
      <c r="B1031" s="3" t="s">
        <v>2775</v>
      </c>
      <c r="C1031" s="1" t="s">
        <v>1206</v>
      </c>
      <c r="D1031" t="s">
        <v>2776</v>
      </c>
      <c r="E1031" t="str">
        <f t="shared" si="31"/>
        <v>ROD-SF-metast-109</v>
      </c>
      <c r="F1031" s="10" t="s">
        <v>35</v>
      </c>
      <c r="G1031" s="39" t="s">
        <v>1331</v>
      </c>
    </row>
    <row r="1032" spans="1:7" ht="15.75">
      <c r="A1032" s="1">
        <v>1031</v>
      </c>
      <c r="B1032" s="3" t="s">
        <v>2777</v>
      </c>
      <c r="C1032" s="1" t="s">
        <v>1206</v>
      </c>
      <c r="D1032" t="s">
        <v>2778</v>
      </c>
      <c r="E1032" t="str">
        <f t="shared" ref="E1032:E1095" si="32">C1032&amp;D1032</f>
        <v>ROD-SF-metast-110</v>
      </c>
      <c r="F1032" s="10" t="s">
        <v>65</v>
      </c>
      <c r="G1032" s="39" t="s">
        <v>1331</v>
      </c>
    </row>
    <row r="1033" spans="1:7" ht="15.75">
      <c r="A1033" s="1">
        <v>1032</v>
      </c>
      <c r="B1033" s="3" t="s">
        <v>2779</v>
      </c>
      <c r="C1033" s="1" t="s">
        <v>1206</v>
      </c>
      <c r="D1033" t="s">
        <v>2780</v>
      </c>
      <c r="E1033" t="str">
        <f t="shared" si="32"/>
        <v>ROD-SF-metast-111</v>
      </c>
      <c r="F1033" s="10" t="s">
        <v>35</v>
      </c>
      <c r="G1033" s="39" t="s">
        <v>1331</v>
      </c>
    </row>
    <row r="1034" spans="1:7" ht="15.75">
      <c r="A1034" s="1">
        <v>1033</v>
      </c>
      <c r="B1034" s="3" t="s">
        <v>2781</v>
      </c>
      <c r="C1034" s="1" t="s">
        <v>1206</v>
      </c>
      <c r="D1034" t="s">
        <v>2782</v>
      </c>
      <c r="E1034" t="str">
        <f t="shared" si="32"/>
        <v>ROD-SF-metast-112</v>
      </c>
      <c r="F1034" s="10" t="s">
        <v>14</v>
      </c>
      <c r="G1034" s="39" t="s">
        <v>1331</v>
      </c>
    </row>
    <row r="1035" spans="1:7" ht="15.75">
      <c r="A1035" s="1">
        <v>1034</v>
      </c>
      <c r="B1035" s="3" t="s">
        <v>2783</v>
      </c>
      <c r="C1035" s="1" t="s">
        <v>1206</v>
      </c>
      <c r="D1035" t="s">
        <v>2784</v>
      </c>
      <c r="E1035" t="str">
        <f t="shared" si="32"/>
        <v>ROD-SF-metast-113</v>
      </c>
      <c r="F1035" s="10" t="s">
        <v>26</v>
      </c>
      <c r="G1035" s="39" t="s">
        <v>1331</v>
      </c>
    </row>
    <row r="1036" spans="1:7" ht="15.75">
      <c r="A1036" s="1">
        <v>1035</v>
      </c>
      <c r="B1036" s="3" t="s">
        <v>2785</v>
      </c>
      <c r="C1036" s="1" t="s">
        <v>1206</v>
      </c>
      <c r="D1036" t="s">
        <v>2786</v>
      </c>
      <c r="E1036" t="str">
        <f t="shared" si="32"/>
        <v>ROD-SF-metast-114</v>
      </c>
      <c r="F1036" s="10" t="s">
        <v>26</v>
      </c>
      <c r="G1036" s="39" t="s">
        <v>1331</v>
      </c>
    </row>
    <row r="1037" spans="1:7" ht="15.75">
      <c r="A1037" s="1">
        <v>1036</v>
      </c>
      <c r="B1037" s="3" t="s">
        <v>2787</v>
      </c>
      <c r="C1037" s="1" t="s">
        <v>1206</v>
      </c>
      <c r="D1037" t="s">
        <v>2788</v>
      </c>
      <c r="E1037" t="str">
        <f t="shared" si="32"/>
        <v>ROD-SF-metast-115</v>
      </c>
      <c r="F1037" s="10" t="s">
        <v>30</v>
      </c>
      <c r="G1037" s="39" t="s">
        <v>1331</v>
      </c>
    </row>
    <row r="1038" spans="1:7" ht="15.75">
      <c r="A1038" s="1">
        <v>1037</v>
      </c>
      <c r="B1038" s="3" t="s">
        <v>2789</v>
      </c>
      <c r="C1038" s="1" t="s">
        <v>1206</v>
      </c>
      <c r="D1038" t="s">
        <v>2790</v>
      </c>
      <c r="E1038" t="str">
        <f t="shared" si="32"/>
        <v>ROD-SF-metast-116</v>
      </c>
      <c r="F1038" s="10" t="s">
        <v>30</v>
      </c>
      <c r="G1038" s="39" t="s">
        <v>1331</v>
      </c>
    </row>
    <row r="1039" spans="1:7" ht="15.75">
      <c r="A1039" s="1">
        <v>1038</v>
      </c>
      <c r="B1039" s="3" t="s">
        <v>2791</v>
      </c>
      <c r="C1039" s="1" t="s">
        <v>1206</v>
      </c>
      <c r="D1039" t="s">
        <v>2792</v>
      </c>
      <c r="E1039" t="str">
        <f t="shared" si="32"/>
        <v>ROD-SF-metast-117</v>
      </c>
      <c r="F1039" s="10" t="s">
        <v>30</v>
      </c>
      <c r="G1039" s="39" t="s">
        <v>1331</v>
      </c>
    </row>
    <row r="1040" spans="1:7" ht="15.75">
      <c r="A1040" s="1">
        <v>1039</v>
      </c>
      <c r="B1040" s="3" t="s">
        <v>2793</v>
      </c>
      <c r="C1040" s="1" t="s">
        <v>1206</v>
      </c>
      <c r="D1040" t="s">
        <v>2794</v>
      </c>
      <c r="E1040" t="str">
        <f t="shared" si="32"/>
        <v>ROD-SF-metast-118</v>
      </c>
      <c r="F1040" s="10" t="s">
        <v>30</v>
      </c>
      <c r="G1040" s="39" t="s">
        <v>1331</v>
      </c>
    </row>
    <row r="1041" spans="1:7" ht="15.75">
      <c r="A1041" s="1">
        <v>1040</v>
      </c>
      <c r="B1041" s="3" t="s">
        <v>2795</v>
      </c>
      <c r="C1041" s="1" t="s">
        <v>1206</v>
      </c>
      <c r="D1041" t="s">
        <v>2796</v>
      </c>
      <c r="E1041" t="str">
        <f t="shared" si="32"/>
        <v>ROD-SF-metast-119</v>
      </c>
      <c r="F1041" s="10" t="s">
        <v>30</v>
      </c>
      <c r="G1041" s="39" t="s">
        <v>1331</v>
      </c>
    </row>
    <row r="1042" spans="1:7" ht="15.75">
      <c r="A1042" s="1">
        <v>1041</v>
      </c>
      <c r="B1042" s="3" t="s">
        <v>2797</v>
      </c>
      <c r="C1042" s="1" t="s">
        <v>1206</v>
      </c>
      <c r="D1042" t="s">
        <v>2798</v>
      </c>
      <c r="E1042" t="str">
        <f t="shared" si="32"/>
        <v>ROD-SF-metast-120</v>
      </c>
      <c r="F1042" s="10" t="s">
        <v>30</v>
      </c>
      <c r="G1042" s="39" t="s">
        <v>1331</v>
      </c>
    </row>
    <row r="1043" spans="1:7" ht="15.75">
      <c r="A1043" s="1">
        <v>1042</v>
      </c>
      <c r="B1043" s="3" t="s">
        <v>2799</v>
      </c>
      <c r="C1043" s="1" t="s">
        <v>1206</v>
      </c>
      <c r="D1043" t="s">
        <v>2800</v>
      </c>
      <c r="E1043" t="str">
        <f t="shared" si="32"/>
        <v>ROD-SF-metast-121</v>
      </c>
      <c r="F1043" s="10" t="s">
        <v>30</v>
      </c>
      <c r="G1043" s="39" t="s">
        <v>1331</v>
      </c>
    </row>
    <row r="1044" spans="1:7" ht="15.75">
      <c r="A1044" s="1">
        <v>1043</v>
      </c>
      <c r="B1044" s="3" t="s">
        <v>2801</v>
      </c>
      <c r="C1044" s="1" t="s">
        <v>1206</v>
      </c>
      <c r="D1044" t="s">
        <v>2802</v>
      </c>
      <c r="E1044" t="str">
        <f t="shared" si="32"/>
        <v>ROD-SF-metast-122</v>
      </c>
      <c r="F1044" s="10" t="s">
        <v>30</v>
      </c>
      <c r="G1044" s="39" t="s">
        <v>1331</v>
      </c>
    </row>
    <row r="1045" spans="1:7" ht="15.75">
      <c r="A1045" s="1">
        <v>1044</v>
      </c>
      <c r="B1045" s="3" t="s">
        <v>2803</v>
      </c>
      <c r="C1045" s="1" t="s">
        <v>1206</v>
      </c>
      <c r="D1045" t="s">
        <v>2804</v>
      </c>
      <c r="E1045" t="str">
        <f t="shared" si="32"/>
        <v>ROD-SF-metast-123</v>
      </c>
      <c r="F1045" s="10" t="s">
        <v>14</v>
      </c>
      <c r="G1045" s="10" t="s">
        <v>2805</v>
      </c>
    </row>
    <row r="1046" spans="1:7" ht="15.75">
      <c r="A1046" s="1">
        <v>1045</v>
      </c>
      <c r="B1046" s="3" t="s">
        <v>2806</v>
      </c>
      <c r="C1046" s="1" t="s">
        <v>1206</v>
      </c>
      <c r="D1046" t="s">
        <v>2807</v>
      </c>
      <c r="E1046" t="str">
        <f t="shared" si="32"/>
        <v>ROD-SF-metast-124</v>
      </c>
      <c r="F1046" s="10" t="s">
        <v>35</v>
      </c>
      <c r="G1046" s="39" t="s">
        <v>1331</v>
      </c>
    </row>
    <row r="1047" spans="1:7" ht="15.75">
      <c r="A1047" s="1">
        <v>1046</v>
      </c>
      <c r="B1047" s="3" t="s">
        <v>2808</v>
      </c>
      <c r="C1047" s="1" t="s">
        <v>1206</v>
      </c>
      <c r="D1047" t="s">
        <v>2809</v>
      </c>
      <c r="E1047" t="str">
        <f t="shared" si="32"/>
        <v>ROD-SF-metast-125</v>
      </c>
      <c r="F1047" s="10" t="s">
        <v>35</v>
      </c>
      <c r="G1047" s="39" t="s">
        <v>1331</v>
      </c>
    </row>
    <row r="1048" spans="1:7" ht="15.75">
      <c r="A1048" s="1">
        <v>1047</v>
      </c>
      <c r="B1048" s="3" t="s">
        <v>2810</v>
      </c>
      <c r="C1048" s="1" t="s">
        <v>1206</v>
      </c>
      <c r="D1048" t="s">
        <v>2811</v>
      </c>
      <c r="E1048" t="str">
        <f t="shared" si="32"/>
        <v>ROD-SF-metast-126</v>
      </c>
      <c r="F1048" s="10" t="s">
        <v>35</v>
      </c>
      <c r="G1048" s="39" t="s">
        <v>1331</v>
      </c>
    </row>
    <row r="1049" spans="1:7" ht="15.75">
      <c r="A1049" s="1">
        <v>1048</v>
      </c>
      <c r="B1049" s="3" t="s">
        <v>2812</v>
      </c>
      <c r="C1049" s="1" t="s">
        <v>1206</v>
      </c>
      <c r="D1049" t="s">
        <v>2813</v>
      </c>
      <c r="E1049" t="str">
        <f t="shared" si="32"/>
        <v>ROD-SF-metast-127</v>
      </c>
      <c r="F1049" s="10" t="s">
        <v>35</v>
      </c>
      <c r="G1049" s="39" t="s">
        <v>1331</v>
      </c>
    </row>
    <row r="1050" spans="1:7" ht="15.75">
      <c r="A1050" s="1">
        <v>1049</v>
      </c>
      <c r="B1050" s="3" t="s">
        <v>2814</v>
      </c>
      <c r="C1050" s="1" t="s">
        <v>1206</v>
      </c>
      <c r="D1050" t="s">
        <v>2815</v>
      </c>
      <c r="E1050" t="str">
        <f t="shared" si="32"/>
        <v>ROD-SF-metast-128</v>
      </c>
      <c r="F1050" s="10" t="s">
        <v>35</v>
      </c>
      <c r="G1050" s="39" t="s">
        <v>1331</v>
      </c>
    </row>
    <row r="1051" spans="1:7" ht="15.75">
      <c r="A1051" s="1">
        <v>1050</v>
      </c>
      <c r="B1051" s="3" t="s">
        <v>2816</v>
      </c>
      <c r="C1051" s="1" t="s">
        <v>1206</v>
      </c>
      <c r="D1051" t="s">
        <v>2817</v>
      </c>
      <c r="E1051" t="str">
        <f t="shared" si="32"/>
        <v>ROD-SF-metast-129</v>
      </c>
      <c r="F1051" s="10" t="s">
        <v>35</v>
      </c>
      <c r="G1051" s="39" t="s">
        <v>1331</v>
      </c>
    </row>
    <row r="1052" spans="1:7" ht="15.75">
      <c r="A1052" s="1">
        <v>1051</v>
      </c>
      <c r="B1052" s="3" t="s">
        <v>2818</v>
      </c>
      <c r="C1052" s="1" t="s">
        <v>1206</v>
      </c>
      <c r="D1052" t="s">
        <v>2819</v>
      </c>
      <c r="E1052" t="str">
        <f t="shared" si="32"/>
        <v>ROD-SF-metast-130</v>
      </c>
      <c r="F1052" s="10" t="s">
        <v>35</v>
      </c>
      <c r="G1052" s="39" t="s">
        <v>1331</v>
      </c>
    </row>
    <row r="1053" spans="1:7" ht="15.75">
      <c r="A1053" s="1">
        <v>1052</v>
      </c>
      <c r="B1053" s="3" t="s">
        <v>2820</v>
      </c>
      <c r="C1053" s="1" t="s">
        <v>1206</v>
      </c>
      <c r="D1053" t="s">
        <v>2821</v>
      </c>
      <c r="E1053" t="str">
        <f t="shared" si="32"/>
        <v>ROD-SF-metast-131</v>
      </c>
      <c r="F1053" s="10" t="s">
        <v>65</v>
      </c>
      <c r="G1053" s="39" t="s">
        <v>1331</v>
      </c>
    </row>
    <row r="1054" spans="1:7" ht="15.75">
      <c r="A1054" s="1">
        <v>1053</v>
      </c>
      <c r="B1054" s="3" t="s">
        <v>2822</v>
      </c>
      <c r="C1054" s="1" t="s">
        <v>1206</v>
      </c>
      <c r="D1054" t="s">
        <v>2823</v>
      </c>
      <c r="E1054" t="str">
        <f t="shared" si="32"/>
        <v>ROD-SF-metast-132</v>
      </c>
      <c r="F1054" s="10" t="s">
        <v>65</v>
      </c>
      <c r="G1054" s="39" t="s">
        <v>1331</v>
      </c>
    </row>
    <row r="1055" spans="1:7">
      <c r="A1055" s="1">
        <v>1054</v>
      </c>
      <c r="B1055" s="3" t="s">
        <v>2824</v>
      </c>
      <c r="C1055" s="1" t="s">
        <v>1206</v>
      </c>
      <c r="D1055" t="s">
        <v>2825</v>
      </c>
      <c r="E1055" t="str">
        <f t="shared" si="32"/>
        <v>ROD-SF-metast-133</v>
      </c>
      <c r="F1055" s="10" t="s">
        <v>35</v>
      </c>
      <c r="G1055" s="39" t="s">
        <v>1331</v>
      </c>
    </row>
    <row r="1056" spans="1:7">
      <c r="A1056" s="1">
        <v>1055</v>
      </c>
      <c r="B1056" s="3" t="s">
        <v>2826</v>
      </c>
      <c r="C1056" s="1" t="s">
        <v>1206</v>
      </c>
      <c r="D1056" t="s">
        <v>2827</v>
      </c>
      <c r="E1056" t="str">
        <f t="shared" si="32"/>
        <v>ROD-SF-metast-134</v>
      </c>
      <c r="F1056" s="10" t="s">
        <v>35</v>
      </c>
      <c r="G1056" s="39" t="s">
        <v>1331</v>
      </c>
    </row>
    <row r="1057" spans="1:7">
      <c r="A1057" s="1">
        <v>1056</v>
      </c>
      <c r="B1057" s="3" t="s">
        <v>2828</v>
      </c>
      <c r="C1057" s="1" t="s">
        <v>1206</v>
      </c>
      <c r="D1057" t="s">
        <v>2829</v>
      </c>
      <c r="E1057" t="str">
        <f t="shared" si="32"/>
        <v>ROD-SF-metast-135</v>
      </c>
      <c r="F1057" s="10" t="s">
        <v>35</v>
      </c>
      <c r="G1057" s="39" t="s">
        <v>1331</v>
      </c>
    </row>
    <row r="1058" spans="1:7">
      <c r="A1058" s="1">
        <v>1057</v>
      </c>
      <c r="B1058" s="3" t="s">
        <v>2830</v>
      </c>
      <c r="C1058" s="1" t="s">
        <v>1206</v>
      </c>
      <c r="D1058" t="s">
        <v>2831</v>
      </c>
      <c r="E1058" t="str">
        <f t="shared" si="32"/>
        <v>ROD-SF-metast-136</v>
      </c>
      <c r="F1058" s="10" t="s">
        <v>35</v>
      </c>
      <c r="G1058" s="39" t="s">
        <v>1331</v>
      </c>
    </row>
    <row r="1059" spans="1:7">
      <c r="A1059" s="1">
        <v>1058</v>
      </c>
      <c r="B1059" s="3" t="s">
        <v>2832</v>
      </c>
      <c r="C1059" s="1" t="s">
        <v>1206</v>
      </c>
      <c r="D1059" t="s">
        <v>2833</v>
      </c>
      <c r="E1059" t="str">
        <f t="shared" si="32"/>
        <v>ROD-SF-metast-137</v>
      </c>
      <c r="F1059" s="10" t="s">
        <v>35</v>
      </c>
      <c r="G1059" s="39" t="s">
        <v>1331</v>
      </c>
    </row>
    <row r="1060" spans="1:7">
      <c r="A1060" s="1">
        <v>1059</v>
      </c>
      <c r="B1060" s="3" t="s">
        <v>2834</v>
      </c>
      <c r="C1060" s="1" t="s">
        <v>1206</v>
      </c>
      <c r="D1060" t="s">
        <v>2835</v>
      </c>
      <c r="E1060" t="str">
        <f t="shared" si="32"/>
        <v>ROD-SF-metast-138</v>
      </c>
      <c r="F1060" s="10" t="s">
        <v>35</v>
      </c>
      <c r="G1060" s="39" t="s">
        <v>1331</v>
      </c>
    </row>
    <row r="1061" spans="1:7">
      <c r="A1061" s="1">
        <v>1060</v>
      </c>
      <c r="B1061" s="3" t="s">
        <v>2836</v>
      </c>
      <c r="C1061" s="1" t="s">
        <v>1206</v>
      </c>
      <c r="D1061" t="s">
        <v>2837</v>
      </c>
      <c r="E1061" t="str">
        <f t="shared" si="32"/>
        <v>ROD-SF-metast-139</v>
      </c>
      <c r="F1061" s="10" t="s">
        <v>35</v>
      </c>
      <c r="G1061" s="39" t="s">
        <v>1331</v>
      </c>
    </row>
    <row r="1062" spans="1:7">
      <c r="A1062" s="1">
        <v>1061</v>
      </c>
      <c r="B1062" s="3" t="s">
        <v>2838</v>
      </c>
      <c r="C1062" s="1" t="s">
        <v>1206</v>
      </c>
      <c r="D1062" t="s">
        <v>2839</v>
      </c>
      <c r="E1062" t="str">
        <f t="shared" si="32"/>
        <v>ROD-SF-metast-140</v>
      </c>
      <c r="F1062" s="10" t="s">
        <v>35</v>
      </c>
      <c r="G1062" s="39" t="s">
        <v>1331</v>
      </c>
    </row>
    <row r="1063" spans="1:7">
      <c r="A1063" s="1">
        <v>1062</v>
      </c>
      <c r="B1063" s="3" t="s">
        <v>2840</v>
      </c>
      <c r="C1063" s="1" t="s">
        <v>1206</v>
      </c>
      <c r="D1063" t="s">
        <v>2841</v>
      </c>
      <c r="E1063" t="str">
        <f t="shared" si="32"/>
        <v>ROD-SF-metast-141</v>
      </c>
      <c r="F1063" s="10" t="s">
        <v>35</v>
      </c>
      <c r="G1063" s="39" t="s">
        <v>1331</v>
      </c>
    </row>
    <row r="1064" spans="1:7">
      <c r="A1064" s="1">
        <v>1063</v>
      </c>
      <c r="B1064" s="3" t="s">
        <v>2842</v>
      </c>
      <c r="C1064" s="1" t="s">
        <v>1206</v>
      </c>
      <c r="D1064" t="s">
        <v>2843</v>
      </c>
      <c r="E1064" t="str">
        <f t="shared" si="32"/>
        <v>ROD-SF-metast-142</v>
      </c>
      <c r="F1064" s="10" t="s">
        <v>35</v>
      </c>
      <c r="G1064" s="39" t="s">
        <v>1331</v>
      </c>
    </row>
    <row r="1065" spans="1:7">
      <c r="A1065" s="1">
        <v>1064</v>
      </c>
      <c r="B1065" s="3" t="s">
        <v>2844</v>
      </c>
      <c r="C1065" s="1" t="s">
        <v>1206</v>
      </c>
      <c r="D1065" t="s">
        <v>2845</v>
      </c>
      <c r="E1065" t="str">
        <f t="shared" si="32"/>
        <v>ROD-SF-metast-143</v>
      </c>
      <c r="F1065" s="10" t="s">
        <v>35</v>
      </c>
      <c r="G1065" s="39" t="s">
        <v>1331</v>
      </c>
    </row>
    <row r="1066" spans="1:7">
      <c r="A1066" s="1">
        <v>1065</v>
      </c>
      <c r="B1066" s="3" t="s">
        <v>2846</v>
      </c>
      <c r="C1066" s="1" t="s">
        <v>1206</v>
      </c>
      <c r="D1066" t="s">
        <v>2847</v>
      </c>
      <c r="E1066" t="str">
        <f t="shared" si="32"/>
        <v>ROD-SF-metast-144</v>
      </c>
      <c r="F1066" s="10" t="s">
        <v>35</v>
      </c>
      <c r="G1066" s="39" t="s">
        <v>1331</v>
      </c>
    </row>
    <row r="1067" spans="1:7">
      <c r="A1067" s="1">
        <v>1066</v>
      </c>
      <c r="B1067" s="3" t="s">
        <v>2848</v>
      </c>
      <c r="C1067" s="1" t="s">
        <v>1206</v>
      </c>
      <c r="D1067" t="s">
        <v>2849</v>
      </c>
      <c r="E1067" t="str">
        <f t="shared" si="32"/>
        <v>ROD-SF-metast-145</v>
      </c>
      <c r="F1067" s="10" t="s">
        <v>35</v>
      </c>
      <c r="G1067" s="39" t="s">
        <v>1331</v>
      </c>
    </row>
    <row r="1068" spans="1:7">
      <c r="A1068" s="1">
        <v>1067</v>
      </c>
      <c r="B1068" s="3" t="s">
        <v>2850</v>
      </c>
      <c r="C1068" s="1" t="s">
        <v>1206</v>
      </c>
      <c r="D1068" t="s">
        <v>2851</v>
      </c>
      <c r="E1068" t="str">
        <f t="shared" si="32"/>
        <v>ROD-SF-metast-146</v>
      </c>
      <c r="F1068" s="10" t="s">
        <v>35</v>
      </c>
      <c r="G1068" s="39" t="s">
        <v>1331</v>
      </c>
    </row>
    <row r="1069" spans="1:7">
      <c r="A1069" s="1">
        <v>1068</v>
      </c>
      <c r="B1069" s="3" t="s">
        <v>2852</v>
      </c>
      <c r="C1069" s="1" t="s">
        <v>1206</v>
      </c>
      <c r="D1069" t="s">
        <v>2853</v>
      </c>
      <c r="E1069" t="str">
        <f t="shared" si="32"/>
        <v>ROD-SF-metast-147</v>
      </c>
      <c r="F1069" s="10" t="s">
        <v>35</v>
      </c>
      <c r="G1069" s="39" t="s">
        <v>1331</v>
      </c>
    </row>
    <row r="1070" spans="1:7">
      <c r="A1070" s="1">
        <v>1069</v>
      </c>
      <c r="B1070" s="3" t="s">
        <v>2854</v>
      </c>
      <c r="C1070" s="1" t="s">
        <v>1206</v>
      </c>
      <c r="D1070" t="s">
        <v>2855</v>
      </c>
      <c r="E1070" t="str">
        <f t="shared" si="32"/>
        <v>ROD-SF-metast-148</v>
      </c>
      <c r="F1070" s="10" t="s">
        <v>35</v>
      </c>
      <c r="G1070" s="39" t="s">
        <v>1331</v>
      </c>
    </row>
    <row r="1071" spans="1:7">
      <c r="A1071" s="1">
        <v>1070</v>
      </c>
      <c r="B1071" s="3" t="s">
        <v>2856</v>
      </c>
      <c r="C1071" s="1" t="s">
        <v>1206</v>
      </c>
      <c r="D1071" t="s">
        <v>2857</v>
      </c>
      <c r="E1071" t="str">
        <f t="shared" si="32"/>
        <v>ROD-SF-metast-149</v>
      </c>
      <c r="F1071" s="10" t="s">
        <v>35</v>
      </c>
      <c r="G1071" s="39" t="s">
        <v>1331</v>
      </c>
    </row>
    <row r="1072" spans="1:7">
      <c r="A1072" s="1">
        <v>1071</v>
      </c>
      <c r="B1072" s="3" t="s">
        <v>2858</v>
      </c>
      <c r="C1072" s="1" t="s">
        <v>1206</v>
      </c>
      <c r="D1072" t="s">
        <v>2859</v>
      </c>
      <c r="E1072" t="str">
        <f t="shared" si="32"/>
        <v>ROD-SF-metast-150</v>
      </c>
      <c r="F1072" s="10" t="s">
        <v>35</v>
      </c>
      <c r="G1072" s="39" t="s">
        <v>1331</v>
      </c>
    </row>
    <row r="1073" spans="1:7">
      <c r="A1073" s="1">
        <v>1072</v>
      </c>
      <c r="B1073" s="3" t="s">
        <v>2860</v>
      </c>
      <c r="C1073" s="1" t="s">
        <v>1206</v>
      </c>
      <c r="D1073" t="s">
        <v>2861</v>
      </c>
      <c r="E1073" t="str">
        <f t="shared" si="32"/>
        <v>ROD-SF-metast-151</v>
      </c>
      <c r="F1073" s="10" t="s">
        <v>35</v>
      </c>
      <c r="G1073" s="39" t="s">
        <v>1331</v>
      </c>
    </row>
    <row r="1074" spans="1:7">
      <c r="A1074" s="1">
        <v>1073</v>
      </c>
      <c r="B1074" s="3" t="s">
        <v>2862</v>
      </c>
      <c r="C1074" s="1" t="s">
        <v>1206</v>
      </c>
      <c r="D1074" t="s">
        <v>2863</v>
      </c>
      <c r="E1074" t="str">
        <f t="shared" si="32"/>
        <v>ROD-SF-metast-152</v>
      </c>
      <c r="F1074" s="10" t="s">
        <v>35</v>
      </c>
      <c r="G1074" s="39" t="s">
        <v>1331</v>
      </c>
    </row>
    <row r="1075" spans="1:7">
      <c r="A1075" s="1">
        <v>1074</v>
      </c>
      <c r="B1075" s="3" t="s">
        <v>2864</v>
      </c>
      <c r="C1075" s="1" t="s">
        <v>1206</v>
      </c>
      <c r="D1075" t="s">
        <v>2865</v>
      </c>
      <c r="E1075" t="str">
        <f t="shared" si="32"/>
        <v>ROD-SF-metast-153</v>
      </c>
      <c r="F1075" s="10" t="s">
        <v>30</v>
      </c>
      <c r="G1075" s="39" t="s">
        <v>1331</v>
      </c>
    </row>
    <row r="1076" spans="1:7">
      <c r="A1076" s="1">
        <v>1075</v>
      </c>
      <c r="B1076" s="3" t="s">
        <v>2866</v>
      </c>
      <c r="C1076" s="1" t="s">
        <v>1206</v>
      </c>
      <c r="D1076" t="s">
        <v>2867</v>
      </c>
      <c r="E1076" t="str">
        <f t="shared" si="32"/>
        <v>ROD-SF-metast-154</v>
      </c>
      <c r="F1076" s="10" t="s">
        <v>26</v>
      </c>
      <c r="G1076" s="39" t="s">
        <v>1331</v>
      </c>
    </row>
    <row r="1077" spans="1:7">
      <c r="A1077" s="1">
        <v>1076</v>
      </c>
      <c r="B1077" s="3" t="s">
        <v>2868</v>
      </c>
      <c r="C1077" s="1" t="s">
        <v>1206</v>
      </c>
      <c r="D1077" t="s">
        <v>2869</v>
      </c>
      <c r="E1077" t="str">
        <f t="shared" si="32"/>
        <v>ROD-SF-metast-155</v>
      </c>
      <c r="F1077" s="10" t="s">
        <v>30</v>
      </c>
      <c r="G1077" s="39" t="s">
        <v>1331</v>
      </c>
    </row>
    <row r="1078" spans="1:7">
      <c r="A1078" s="1">
        <v>1077</v>
      </c>
      <c r="B1078" s="3" t="s">
        <v>2870</v>
      </c>
      <c r="C1078" s="1" t="s">
        <v>1206</v>
      </c>
      <c r="D1078" t="s">
        <v>2871</v>
      </c>
      <c r="E1078" t="str">
        <f t="shared" si="32"/>
        <v>ROD-SF-metast-156</v>
      </c>
      <c r="F1078" s="10" t="s">
        <v>30</v>
      </c>
      <c r="G1078" s="39" t="s">
        <v>1331</v>
      </c>
    </row>
    <row r="1079" spans="1:7">
      <c r="A1079" s="1">
        <v>1078</v>
      </c>
      <c r="B1079" s="3" t="s">
        <v>2872</v>
      </c>
      <c r="C1079" s="1" t="s">
        <v>1206</v>
      </c>
      <c r="D1079" t="s">
        <v>2873</v>
      </c>
      <c r="E1079" t="str">
        <f t="shared" si="32"/>
        <v>ROD-SF-metast-157</v>
      </c>
      <c r="F1079" s="10" t="s">
        <v>35</v>
      </c>
      <c r="G1079" s="39" t="s">
        <v>1331</v>
      </c>
    </row>
    <row r="1080" spans="1:7">
      <c r="A1080" s="1">
        <v>1079</v>
      </c>
      <c r="B1080" s="3" t="s">
        <v>2874</v>
      </c>
      <c r="C1080" s="1" t="s">
        <v>1206</v>
      </c>
      <c r="D1080" t="s">
        <v>2875</v>
      </c>
      <c r="E1080" t="str">
        <f t="shared" si="32"/>
        <v>ROD-SF-metast-158</v>
      </c>
      <c r="F1080" s="10" t="s">
        <v>35</v>
      </c>
      <c r="G1080" s="39" t="s">
        <v>1331</v>
      </c>
    </row>
    <row r="1081" spans="1:7">
      <c r="A1081" s="1">
        <v>1080</v>
      </c>
      <c r="B1081" s="3" t="s">
        <v>2876</v>
      </c>
      <c r="C1081" s="1" t="s">
        <v>1206</v>
      </c>
      <c r="D1081" t="s">
        <v>2877</v>
      </c>
      <c r="E1081" t="str">
        <f t="shared" si="32"/>
        <v>ROD-SF-metast-159</v>
      </c>
      <c r="F1081" s="10" t="s">
        <v>35</v>
      </c>
      <c r="G1081" s="39" t="s">
        <v>1331</v>
      </c>
    </row>
    <row r="1082" spans="1:7">
      <c r="A1082" s="1">
        <v>1081</v>
      </c>
      <c r="B1082" s="3" t="s">
        <v>2878</v>
      </c>
      <c r="C1082" s="1" t="s">
        <v>1206</v>
      </c>
      <c r="D1082" t="s">
        <v>2879</v>
      </c>
      <c r="E1082" t="str">
        <f t="shared" si="32"/>
        <v>ROD-SF-metast-160</v>
      </c>
      <c r="F1082" s="10" t="s">
        <v>35</v>
      </c>
      <c r="G1082" s="39" t="s">
        <v>1331</v>
      </c>
    </row>
    <row r="1083" spans="1:7">
      <c r="A1083" s="1">
        <v>1082</v>
      </c>
      <c r="B1083" s="3" t="s">
        <v>2880</v>
      </c>
      <c r="C1083" s="1" t="s">
        <v>1206</v>
      </c>
      <c r="D1083" t="s">
        <v>2881</v>
      </c>
      <c r="E1083" t="str">
        <f t="shared" si="32"/>
        <v>ROD-SF-metast-161</v>
      </c>
      <c r="F1083" s="10" t="s">
        <v>35</v>
      </c>
      <c r="G1083" s="39" t="s">
        <v>1331</v>
      </c>
    </row>
    <row r="1084" spans="1:7">
      <c r="A1084" s="1">
        <v>1083</v>
      </c>
      <c r="B1084" s="3" t="s">
        <v>2882</v>
      </c>
      <c r="C1084" s="1" t="s">
        <v>1206</v>
      </c>
      <c r="D1084" t="s">
        <v>2883</v>
      </c>
      <c r="E1084" t="str">
        <f t="shared" si="32"/>
        <v>ROD-SF-metast-162</v>
      </c>
      <c r="F1084" s="10" t="s">
        <v>35</v>
      </c>
      <c r="G1084" s="39" t="s">
        <v>1331</v>
      </c>
    </row>
    <row r="1085" spans="1:7">
      <c r="A1085" s="1">
        <v>1084</v>
      </c>
      <c r="B1085" s="3" t="s">
        <v>2884</v>
      </c>
      <c r="C1085" s="1" t="s">
        <v>1206</v>
      </c>
      <c r="D1085" t="s">
        <v>2885</v>
      </c>
      <c r="E1085" t="str">
        <f t="shared" si="32"/>
        <v>ROD-SF-metast-163</v>
      </c>
      <c r="F1085" s="10" t="s">
        <v>35</v>
      </c>
      <c r="G1085" s="39" t="s">
        <v>1331</v>
      </c>
    </row>
    <row r="1086" spans="1:7">
      <c r="A1086" s="1">
        <v>1085</v>
      </c>
      <c r="B1086" s="3" t="s">
        <v>2886</v>
      </c>
      <c r="C1086" s="1" t="s">
        <v>1206</v>
      </c>
      <c r="D1086" t="s">
        <v>2887</v>
      </c>
      <c r="E1086" t="str">
        <f t="shared" si="32"/>
        <v>ROD-SF-metast-164</v>
      </c>
      <c r="F1086" s="10" t="s">
        <v>35</v>
      </c>
      <c r="G1086" s="39" t="s">
        <v>1331</v>
      </c>
    </row>
    <row r="1087" spans="1:7">
      <c r="A1087" s="1">
        <v>1086</v>
      </c>
      <c r="B1087" s="3" t="s">
        <v>2888</v>
      </c>
      <c r="C1087" s="1" t="s">
        <v>1206</v>
      </c>
      <c r="D1087" t="s">
        <v>2889</v>
      </c>
      <c r="E1087" t="str">
        <f t="shared" si="32"/>
        <v>ROD-SF-metast-165</v>
      </c>
      <c r="F1087" s="10" t="s">
        <v>35</v>
      </c>
      <c r="G1087" s="39" t="s">
        <v>1331</v>
      </c>
    </row>
    <row r="1088" spans="1:7">
      <c r="A1088" s="1">
        <v>1087</v>
      </c>
      <c r="B1088" s="3" t="s">
        <v>2890</v>
      </c>
      <c r="C1088" s="1" t="s">
        <v>1206</v>
      </c>
      <c r="D1088" t="s">
        <v>2891</v>
      </c>
      <c r="E1088" t="str">
        <f t="shared" si="32"/>
        <v>ROD-SF-metast-166</v>
      </c>
      <c r="F1088" s="10" t="s">
        <v>65</v>
      </c>
      <c r="G1088" s="39" t="s">
        <v>1331</v>
      </c>
    </row>
    <row r="1089" spans="1:7">
      <c r="A1089" s="1">
        <v>1088</v>
      </c>
      <c r="B1089" s="3" t="s">
        <v>2892</v>
      </c>
      <c r="C1089" s="1" t="s">
        <v>1206</v>
      </c>
      <c r="D1089" t="s">
        <v>2893</v>
      </c>
      <c r="E1089" t="str">
        <f t="shared" si="32"/>
        <v>ROD-SF-metast-167</v>
      </c>
      <c r="F1089" s="10" t="s">
        <v>35</v>
      </c>
      <c r="G1089" s="39" t="s">
        <v>1331</v>
      </c>
    </row>
    <row r="1090" spans="1:7">
      <c r="A1090" s="1">
        <v>1089</v>
      </c>
      <c r="B1090" s="3" t="s">
        <v>2894</v>
      </c>
      <c r="C1090" s="1" t="s">
        <v>1206</v>
      </c>
      <c r="D1090" t="s">
        <v>2895</v>
      </c>
      <c r="E1090" t="str">
        <f t="shared" si="32"/>
        <v>ROD-SF-metast-168</v>
      </c>
      <c r="F1090" s="10" t="s">
        <v>35</v>
      </c>
      <c r="G1090" s="39" t="s">
        <v>1331</v>
      </c>
    </row>
    <row r="1091" spans="1:7">
      <c r="A1091" s="1">
        <v>1090</v>
      </c>
      <c r="B1091" s="3" t="s">
        <v>2896</v>
      </c>
      <c r="C1091" s="1" t="s">
        <v>1206</v>
      </c>
      <c r="D1091" t="s">
        <v>2897</v>
      </c>
      <c r="E1091" t="str">
        <f t="shared" si="32"/>
        <v>ROD-SF-metast-169</v>
      </c>
      <c r="F1091" s="10" t="s">
        <v>35</v>
      </c>
      <c r="G1091" s="39" t="s">
        <v>1331</v>
      </c>
    </row>
    <row r="1092" spans="1:7">
      <c r="A1092" s="1">
        <v>1091</v>
      </c>
      <c r="B1092" s="3" t="s">
        <v>2898</v>
      </c>
      <c r="C1092" s="1" t="s">
        <v>1206</v>
      </c>
      <c r="D1092" t="s">
        <v>2899</v>
      </c>
      <c r="E1092" t="str">
        <f t="shared" si="32"/>
        <v>ROD-SF-metast-170</v>
      </c>
      <c r="F1092" s="10" t="s">
        <v>35</v>
      </c>
      <c r="G1092" s="39" t="s">
        <v>1331</v>
      </c>
    </row>
    <row r="1093" spans="1:7">
      <c r="A1093" s="1">
        <v>1092</v>
      </c>
      <c r="B1093" s="3" t="s">
        <v>2900</v>
      </c>
      <c r="C1093" s="1" t="s">
        <v>1206</v>
      </c>
      <c r="D1093" t="s">
        <v>2901</v>
      </c>
      <c r="E1093" t="str">
        <f t="shared" si="32"/>
        <v>ROD-SF-metast-171</v>
      </c>
      <c r="F1093" s="10" t="s">
        <v>35</v>
      </c>
      <c r="G1093" s="39" t="s">
        <v>1331</v>
      </c>
    </row>
    <row r="1094" spans="1:7">
      <c r="A1094" s="1">
        <v>1093</v>
      </c>
      <c r="B1094" s="3" t="s">
        <v>2902</v>
      </c>
      <c r="C1094" s="1" t="s">
        <v>1206</v>
      </c>
      <c r="D1094" t="s">
        <v>2903</v>
      </c>
      <c r="E1094" t="str">
        <f t="shared" si="32"/>
        <v>ROD-SF-metast-172</v>
      </c>
      <c r="F1094" s="10" t="s">
        <v>35</v>
      </c>
      <c r="G1094" s="39" t="s">
        <v>1331</v>
      </c>
    </row>
    <row r="1095" spans="1:7">
      <c r="A1095" s="1">
        <v>1094</v>
      </c>
      <c r="B1095" s="3" t="s">
        <v>2904</v>
      </c>
      <c r="C1095" s="1" t="s">
        <v>1206</v>
      </c>
      <c r="D1095" t="s">
        <v>2905</v>
      </c>
      <c r="E1095" t="str">
        <f t="shared" si="32"/>
        <v>ROD-SF-metast-173</v>
      </c>
      <c r="F1095" s="10" t="s">
        <v>35</v>
      </c>
      <c r="G1095" s="39" t="s">
        <v>1331</v>
      </c>
    </row>
    <row r="1096" spans="1:7">
      <c r="A1096" s="1">
        <v>1095</v>
      </c>
      <c r="B1096" s="3" t="s">
        <v>2906</v>
      </c>
      <c r="C1096" s="1" t="s">
        <v>1206</v>
      </c>
      <c r="D1096" t="s">
        <v>2907</v>
      </c>
      <c r="E1096" t="str">
        <f t="shared" ref="E1096:E1103" si="33">C1096&amp;D1096</f>
        <v>ROD-SF-metast-174</v>
      </c>
      <c r="F1096" s="10" t="s">
        <v>65</v>
      </c>
      <c r="G1096" s="39" t="s">
        <v>1331</v>
      </c>
    </row>
    <row r="1097" spans="1:7">
      <c r="A1097" s="1">
        <v>1096</v>
      </c>
      <c r="B1097" s="3" t="s">
        <v>2908</v>
      </c>
      <c r="C1097" s="1" t="s">
        <v>1206</v>
      </c>
      <c r="D1097" t="s">
        <v>2909</v>
      </c>
      <c r="E1097" t="str">
        <f t="shared" si="33"/>
        <v>ROD-SF-metast-175</v>
      </c>
      <c r="F1097" s="10" t="s">
        <v>65</v>
      </c>
      <c r="G1097" s="39" t="s">
        <v>1331</v>
      </c>
    </row>
    <row r="1098" spans="1:7">
      <c r="A1098" s="1">
        <v>1097</v>
      </c>
      <c r="B1098" s="3" t="s">
        <v>2910</v>
      </c>
      <c r="C1098" s="1" t="s">
        <v>1206</v>
      </c>
      <c r="D1098" t="s">
        <v>2911</v>
      </c>
      <c r="E1098" t="str">
        <f t="shared" si="33"/>
        <v>ROD-SF-metast-176</v>
      </c>
      <c r="F1098" s="10" t="s">
        <v>35</v>
      </c>
      <c r="G1098" s="39" t="s">
        <v>1331</v>
      </c>
    </row>
    <row r="1099" spans="1:7">
      <c r="A1099" s="1">
        <v>1098</v>
      </c>
      <c r="B1099" s="3" t="s">
        <v>2912</v>
      </c>
      <c r="C1099" s="1" t="s">
        <v>1206</v>
      </c>
      <c r="D1099" t="s">
        <v>2913</v>
      </c>
      <c r="E1099" t="str">
        <f t="shared" si="33"/>
        <v>ROD-SF-metast-177</v>
      </c>
      <c r="F1099" s="10" t="s">
        <v>35</v>
      </c>
      <c r="G1099" s="39" t="s">
        <v>1331</v>
      </c>
    </row>
    <row r="1100" spans="1:7">
      <c r="A1100" s="1">
        <v>1099</v>
      </c>
      <c r="B1100" s="3" t="s">
        <v>2914</v>
      </c>
      <c r="C1100" s="1" t="s">
        <v>1206</v>
      </c>
      <c r="D1100" t="s">
        <v>2915</v>
      </c>
      <c r="E1100" t="str">
        <f t="shared" si="33"/>
        <v>ROD-SF-metast-178</v>
      </c>
      <c r="F1100" s="10" t="s">
        <v>35</v>
      </c>
      <c r="G1100" s="39" t="s">
        <v>1331</v>
      </c>
    </row>
    <row r="1101" spans="1:7">
      <c r="A1101" s="1">
        <v>1100</v>
      </c>
      <c r="B1101" s="3" t="s">
        <v>2916</v>
      </c>
      <c r="C1101" s="1" t="s">
        <v>1206</v>
      </c>
      <c r="D1101" t="s">
        <v>2917</v>
      </c>
      <c r="E1101" t="str">
        <f t="shared" si="33"/>
        <v>ROD-SF-metast-179</v>
      </c>
      <c r="F1101" s="10" t="s">
        <v>35</v>
      </c>
      <c r="G1101" s="39" t="s">
        <v>1331</v>
      </c>
    </row>
    <row r="1102" spans="1:7">
      <c r="A1102" s="1">
        <v>1101</v>
      </c>
      <c r="B1102" s="3" t="s">
        <v>2918</v>
      </c>
      <c r="C1102" s="1" t="s">
        <v>1206</v>
      </c>
      <c r="D1102" t="s">
        <v>2919</v>
      </c>
      <c r="E1102" t="str">
        <f t="shared" si="33"/>
        <v>ROD-SF-metast-180</v>
      </c>
      <c r="F1102" s="10" t="s">
        <v>35</v>
      </c>
      <c r="G1102" s="39" t="s">
        <v>1331</v>
      </c>
    </row>
    <row r="1103" spans="1:7">
      <c r="A1103" s="1">
        <v>1102</v>
      </c>
      <c r="B1103" s="3" t="s">
        <v>2920</v>
      </c>
      <c r="C1103" s="1" t="s">
        <v>1206</v>
      </c>
      <c r="D1103" t="s">
        <v>2921</v>
      </c>
      <c r="E1103" t="str">
        <f t="shared" si="33"/>
        <v>ROD-SF-metast-181</v>
      </c>
      <c r="F1103" s="10" t="s">
        <v>35</v>
      </c>
      <c r="G1103" s="39" t="s">
        <v>1331</v>
      </c>
    </row>
    <row r="1104" spans="1:7">
      <c r="A1104" s="1">
        <v>1103</v>
      </c>
      <c r="B1104" s="3" t="s">
        <v>2922</v>
      </c>
      <c r="C1104" s="1" t="s">
        <v>1206</v>
      </c>
      <c r="D1104" t="s">
        <v>2923</v>
      </c>
      <c r="E1104" t="str">
        <f t="shared" ref="E1104:E1111" si="34">C1104&amp;D1104</f>
        <v>ROD-SF-metast-182</v>
      </c>
      <c r="F1104" s="10" t="s">
        <v>65</v>
      </c>
      <c r="G1104" s="39" t="s">
        <v>1331</v>
      </c>
    </row>
    <row r="1105" spans="1:7">
      <c r="A1105" s="1">
        <v>1104</v>
      </c>
      <c r="B1105" s="3" t="s">
        <v>2924</v>
      </c>
      <c r="C1105" s="1" t="s">
        <v>1206</v>
      </c>
      <c r="D1105" t="s">
        <v>2925</v>
      </c>
      <c r="E1105" t="str">
        <f t="shared" si="34"/>
        <v>ROD-SF-metast-183</v>
      </c>
      <c r="F1105" s="10" t="s">
        <v>65</v>
      </c>
      <c r="G1105" s="39" t="s">
        <v>1331</v>
      </c>
    </row>
    <row r="1106" spans="1:7">
      <c r="A1106" s="1">
        <v>1105</v>
      </c>
      <c r="B1106" s="3" t="s">
        <v>2926</v>
      </c>
      <c r="C1106" s="1" t="s">
        <v>1206</v>
      </c>
      <c r="D1106" t="s">
        <v>2927</v>
      </c>
      <c r="E1106" t="str">
        <f t="shared" si="34"/>
        <v>ROD-SF-metast-184</v>
      </c>
      <c r="F1106" s="10" t="s">
        <v>65</v>
      </c>
      <c r="G1106" s="39" t="s">
        <v>1331</v>
      </c>
    </row>
    <row r="1107" spans="1:7">
      <c r="A1107" s="1">
        <v>1106</v>
      </c>
      <c r="B1107" s="3" t="s">
        <v>2928</v>
      </c>
      <c r="C1107" s="1" t="s">
        <v>1206</v>
      </c>
      <c r="D1107" t="s">
        <v>2929</v>
      </c>
      <c r="E1107" t="str">
        <f t="shared" si="34"/>
        <v>ROD-SF-metast-185</v>
      </c>
      <c r="F1107" s="10" t="s">
        <v>35</v>
      </c>
      <c r="G1107" s="39" t="s">
        <v>1331</v>
      </c>
    </row>
    <row r="1108" spans="1:7">
      <c r="A1108" s="1">
        <v>1107</v>
      </c>
      <c r="B1108" s="3" t="s">
        <v>2930</v>
      </c>
      <c r="C1108" s="1" t="s">
        <v>1206</v>
      </c>
      <c r="D1108" t="s">
        <v>2931</v>
      </c>
      <c r="E1108" t="str">
        <f t="shared" si="34"/>
        <v>ROD-SF-metast-186</v>
      </c>
      <c r="F1108" s="10" t="s">
        <v>35</v>
      </c>
      <c r="G1108" s="39" t="s">
        <v>1331</v>
      </c>
    </row>
    <row r="1109" spans="1:7">
      <c r="A1109" s="1">
        <v>1108</v>
      </c>
      <c r="B1109" s="3" t="s">
        <v>2932</v>
      </c>
      <c r="C1109" s="1" t="s">
        <v>1206</v>
      </c>
      <c r="D1109" t="s">
        <v>2933</v>
      </c>
      <c r="E1109" t="str">
        <f t="shared" si="34"/>
        <v>ROD-SF-metast-187</v>
      </c>
      <c r="F1109" s="10" t="s">
        <v>14</v>
      </c>
      <c r="G1109" s="39" t="s">
        <v>1331</v>
      </c>
    </row>
    <row r="1110" spans="1:7">
      <c r="A1110" s="1">
        <v>1109</v>
      </c>
      <c r="B1110" s="3" t="s">
        <v>2934</v>
      </c>
      <c r="C1110" s="1" t="s">
        <v>1206</v>
      </c>
      <c r="D1110" t="s">
        <v>2935</v>
      </c>
      <c r="E1110" t="str">
        <f t="shared" si="34"/>
        <v>ROD-SF-metast-188</v>
      </c>
      <c r="F1110" s="10" t="s">
        <v>30</v>
      </c>
      <c r="G1110" s="39" t="s">
        <v>1331</v>
      </c>
    </row>
    <row r="1111" spans="1:7">
      <c r="A1111" s="1">
        <v>1110</v>
      </c>
      <c r="B1111" s="3" t="s">
        <v>2936</v>
      </c>
      <c r="C1111" s="1" t="s">
        <v>1206</v>
      </c>
      <c r="D1111" t="s">
        <v>2937</v>
      </c>
      <c r="E1111" t="str">
        <f t="shared" si="34"/>
        <v>ROD-SF-metast-189</v>
      </c>
      <c r="F1111" s="10" t="s">
        <v>30</v>
      </c>
      <c r="G1111" s="39" t="s">
        <v>1331</v>
      </c>
    </row>
    <row r="1112" spans="1:7">
      <c r="A1112" s="1">
        <v>1111</v>
      </c>
      <c r="B1112" s="3" t="s">
        <v>2938</v>
      </c>
      <c r="C1112" s="1" t="s">
        <v>1206</v>
      </c>
      <c r="D1112" t="s">
        <v>2939</v>
      </c>
      <c r="E1112" t="str">
        <f t="shared" ref="E1112:E1114" si="35">C1112&amp;D1112</f>
        <v>ROD-SF-metast-190</v>
      </c>
      <c r="F1112" s="10" t="s">
        <v>14</v>
      </c>
      <c r="G1112" s="39" t="s">
        <v>1331</v>
      </c>
    </row>
    <row r="1113" spans="1:7">
      <c r="A1113" s="1">
        <v>1112</v>
      </c>
      <c r="B1113" s="3" t="s">
        <v>2940</v>
      </c>
      <c r="C1113" s="1" t="s">
        <v>1206</v>
      </c>
      <c r="D1113" t="s">
        <v>2941</v>
      </c>
      <c r="E1113" t="str">
        <f t="shared" si="35"/>
        <v>ROD-SF-metast-191</v>
      </c>
      <c r="F1113" s="10" t="s">
        <v>14</v>
      </c>
      <c r="G1113" s="39" t="s">
        <v>1331</v>
      </c>
    </row>
    <row r="1114" spans="1:7">
      <c r="A1114" s="1">
        <v>1113</v>
      </c>
      <c r="B1114" s="3" t="s">
        <v>2942</v>
      </c>
      <c r="C1114" s="1" t="s">
        <v>1206</v>
      </c>
      <c r="D1114" t="s">
        <v>2943</v>
      </c>
      <c r="E1114" t="str">
        <f t="shared" si="35"/>
        <v>ROD-SF-metast-192</v>
      </c>
      <c r="F1114" s="10" t="s">
        <v>14</v>
      </c>
      <c r="G1114" s="39" t="s">
        <v>1331</v>
      </c>
    </row>
    <row r="1115" spans="1:7" ht="15.75">
      <c r="A1115" s="1">
        <v>1114</v>
      </c>
      <c r="B1115" s="3" t="s">
        <v>2944</v>
      </c>
      <c r="C1115" s="1" t="s">
        <v>1206</v>
      </c>
      <c r="D1115" t="s">
        <v>2945</v>
      </c>
      <c r="E1115" t="str">
        <f t="shared" ref="E1115:E1125" si="36">C1115&amp;D1115</f>
        <v>ROD-SF-pyg-1</v>
      </c>
      <c r="F1115" s="10" t="s">
        <v>65</v>
      </c>
      <c r="G1115" s="10" t="s">
        <v>2946</v>
      </c>
    </row>
    <row r="1116" spans="1:7" ht="15.75">
      <c r="A1116" s="1">
        <v>1115</v>
      </c>
      <c r="B1116" s="3" t="s">
        <v>2947</v>
      </c>
      <c r="C1116" s="1" t="s">
        <v>1206</v>
      </c>
      <c r="D1116" t="s">
        <v>2948</v>
      </c>
      <c r="E1116" t="str">
        <f t="shared" ref="E1116:E1123" si="37">C1116&amp;D1116</f>
        <v>ROD-SF-pyg-2</v>
      </c>
      <c r="F1116" s="10" t="s">
        <v>35</v>
      </c>
    </row>
    <row r="1117" spans="1:7" ht="15.75">
      <c r="A1117" s="1">
        <v>1116</v>
      </c>
      <c r="B1117" s="3" t="s">
        <v>2949</v>
      </c>
      <c r="C1117" s="1" t="s">
        <v>1206</v>
      </c>
      <c r="D1117" t="s">
        <v>2950</v>
      </c>
      <c r="E1117" t="str">
        <f t="shared" si="37"/>
        <v>ROD-SF-pyg-3</v>
      </c>
      <c r="F1117" s="10" t="s">
        <v>35</v>
      </c>
      <c r="G1117" s="10" t="s">
        <v>2951</v>
      </c>
    </row>
    <row r="1118" spans="1:7" ht="15.75">
      <c r="A1118" s="1">
        <v>1117</v>
      </c>
      <c r="B1118" s="3" t="s">
        <v>2952</v>
      </c>
      <c r="C1118" s="1" t="s">
        <v>1206</v>
      </c>
      <c r="D1118" t="s">
        <v>2953</v>
      </c>
      <c r="E1118" t="str">
        <f t="shared" si="37"/>
        <v>ROD-SF-pyg-4</v>
      </c>
      <c r="F1118" s="10" t="s">
        <v>35</v>
      </c>
      <c r="G1118" s="10" t="s">
        <v>2951</v>
      </c>
    </row>
    <row r="1119" spans="1:7" ht="15.75">
      <c r="A1119" s="1">
        <v>1118</v>
      </c>
      <c r="B1119" s="3" t="s">
        <v>2954</v>
      </c>
      <c r="C1119" s="1" t="s">
        <v>1206</v>
      </c>
      <c r="D1119" t="s">
        <v>2955</v>
      </c>
      <c r="E1119" t="str">
        <f t="shared" si="37"/>
        <v>ROD-SF-pyg-5</v>
      </c>
      <c r="F1119" s="10" t="s">
        <v>35</v>
      </c>
      <c r="G1119" s="10" t="s">
        <v>2951</v>
      </c>
    </row>
    <row r="1120" spans="1:7" ht="15.75">
      <c r="A1120" s="1">
        <v>1119</v>
      </c>
      <c r="B1120" s="3" t="s">
        <v>2956</v>
      </c>
      <c r="C1120" s="1" t="s">
        <v>1206</v>
      </c>
      <c r="D1120" t="s">
        <v>2957</v>
      </c>
      <c r="E1120" t="str">
        <f t="shared" si="37"/>
        <v>ROD-SF-pyg-6</v>
      </c>
      <c r="F1120" s="10" t="s">
        <v>35</v>
      </c>
      <c r="G1120" s="10" t="s">
        <v>2946</v>
      </c>
    </row>
    <row r="1121" spans="1:7" ht="15.75">
      <c r="A1121" s="1">
        <v>1120</v>
      </c>
      <c r="B1121" s="3" t="s">
        <v>2958</v>
      </c>
      <c r="C1121" s="1" t="s">
        <v>1206</v>
      </c>
      <c r="D1121" t="s">
        <v>2959</v>
      </c>
      <c r="E1121" t="str">
        <f t="shared" si="37"/>
        <v>ROD-SF-pyg-7</v>
      </c>
      <c r="F1121" s="10" t="s">
        <v>35</v>
      </c>
      <c r="G1121" s="10" t="s">
        <v>2951</v>
      </c>
    </row>
    <row r="1122" spans="1:7" ht="15.75">
      <c r="A1122" s="1">
        <v>1121</v>
      </c>
      <c r="B1122" s="3" t="s">
        <v>2960</v>
      </c>
      <c r="C1122" s="1" t="s">
        <v>1206</v>
      </c>
      <c r="D1122" t="s">
        <v>2961</v>
      </c>
      <c r="E1122" t="str">
        <f t="shared" si="37"/>
        <v>ROD-SF-pyg-8</v>
      </c>
      <c r="F1122" s="10" t="s">
        <v>35</v>
      </c>
      <c r="G1122" s="10" t="s">
        <v>2962</v>
      </c>
    </row>
    <row r="1123" spans="1:7" ht="15.75">
      <c r="A1123" s="1">
        <v>1122</v>
      </c>
      <c r="B1123" s="3" t="s">
        <v>2963</v>
      </c>
      <c r="C1123" s="1" t="s">
        <v>1206</v>
      </c>
      <c r="D1123" t="s">
        <v>2964</v>
      </c>
      <c r="E1123" t="str">
        <f t="shared" si="37"/>
        <v>ROD-SF-pyg-9</v>
      </c>
      <c r="F1123" s="10" t="s">
        <v>35</v>
      </c>
      <c r="G1123" s="10" t="s">
        <v>2951</v>
      </c>
    </row>
    <row r="1124" spans="1:7" ht="15.75">
      <c r="A1124" s="1">
        <v>1123</v>
      </c>
      <c r="B1124" s="3" t="s">
        <v>2965</v>
      </c>
      <c r="C1124" s="1" t="s">
        <v>1206</v>
      </c>
      <c r="D1124" t="s">
        <v>2966</v>
      </c>
      <c r="E1124" t="str">
        <f t="shared" ref="E1124" si="38">C1124&amp;D1124</f>
        <v>ROD-SF-pyg-10</v>
      </c>
      <c r="F1124" s="10" t="s">
        <v>35</v>
      </c>
      <c r="G1124" s="10" t="s">
        <v>2946</v>
      </c>
    </row>
    <row r="1125" spans="1:7" ht="15.75">
      <c r="A1125" s="1">
        <v>1124</v>
      </c>
      <c r="B1125" s="3" t="s">
        <v>2967</v>
      </c>
      <c r="C1125" s="1" t="s">
        <v>1206</v>
      </c>
      <c r="D1125" t="s">
        <v>2968</v>
      </c>
      <c r="E1125" t="str">
        <f t="shared" si="36"/>
        <v>ROD-SF-stern-1</v>
      </c>
      <c r="F1125" s="10" t="s">
        <v>30</v>
      </c>
    </row>
    <row r="1126" spans="1:7" ht="15.75">
      <c r="A1126" s="1">
        <v>1125</v>
      </c>
      <c r="B1126" s="3" t="s">
        <v>2969</v>
      </c>
      <c r="C1126" s="1" t="s">
        <v>1206</v>
      </c>
      <c r="D1126" t="s">
        <v>2970</v>
      </c>
      <c r="E1126" t="str">
        <f t="shared" ref="E1126:E1141" si="39">C1126&amp;D1126</f>
        <v>ROD-SF-stern-2</v>
      </c>
      <c r="F1126" s="10" t="s">
        <v>30</v>
      </c>
      <c r="G1126" s="10" t="s">
        <v>2971</v>
      </c>
    </row>
    <row r="1127" spans="1:7" ht="15.75">
      <c r="A1127" s="1">
        <v>1126</v>
      </c>
      <c r="B1127" s="3" t="s">
        <v>2972</v>
      </c>
      <c r="C1127" s="1" t="s">
        <v>1206</v>
      </c>
      <c r="D1127" t="s">
        <v>2973</v>
      </c>
      <c r="E1127" t="str">
        <f t="shared" si="39"/>
        <v>ROD-SF-stern-3</v>
      </c>
      <c r="F1127" s="10" t="s">
        <v>30</v>
      </c>
    </row>
    <row r="1128" spans="1:7" ht="15.75">
      <c r="A1128" s="1">
        <v>1127</v>
      </c>
      <c r="B1128" s="3" t="s">
        <v>2974</v>
      </c>
      <c r="C1128" s="1" t="s">
        <v>1206</v>
      </c>
      <c r="D1128" t="s">
        <v>2975</v>
      </c>
      <c r="E1128" t="str">
        <f t="shared" si="39"/>
        <v>ROD-SF-stern-4</v>
      </c>
      <c r="F1128" s="10" t="s">
        <v>14</v>
      </c>
      <c r="G1128" s="10" t="s">
        <v>2971</v>
      </c>
    </row>
    <row r="1129" spans="1:7" ht="15.75">
      <c r="A1129" s="1">
        <v>1128</v>
      </c>
      <c r="B1129" s="3" t="s">
        <v>2976</v>
      </c>
      <c r="C1129" s="1" t="s">
        <v>1206</v>
      </c>
      <c r="D1129" t="s">
        <v>2977</v>
      </c>
      <c r="E1129" t="str">
        <f t="shared" si="39"/>
        <v>ROD-SF-stern-5</v>
      </c>
      <c r="F1129" s="10" t="s">
        <v>14</v>
      </c>
      <c r="G1129" s="10" t="s">
        <v>2978</v>
      </c>
    </row>
    <row r="1130" spans="1:7" ht="15.75">
      <c r="A1130" s="1">
        <v>1129</v>
      </c>
      <c r="B1130" s="3" t="s">
        <v>2979</v>
      </c>
      <c r="C1130" s="1" t="s">
        <v>1206</v>
      </c>
      <c r="D1130" t="s">
        <v>2980</v>
      </c>
      <c r="E1130" t="str">
        <f t="shared" si="39"/>
        <v>ROD-SF-stern-6</v>
      </c>
      <c r="F1130" s="10" t="s">
        <v>14</v>
      </c>
    </row>
    <row r="1131" spans="1:7" ht="15.75">
      <c r="A1131" s="1">
        <v>1130</v>
      </c>
      <c r="B1131" s="3" t="s">
        <v>2981</v>
      </c>
      <c r="C1131" s="1" t="s">
        <v>1206</v>
      </c>
      <c r="D1131" t="s">
        <v>2982</v>
      </c>
      <c r="E1131" t="str">
        <f t="shared" si="39"/>
        <v>ROD-SF-stern-7</v>
      </c>
      <c r="F1131" s="10" t="s">
        <v>14</v>
      </c>
      <c r="G1131" s="10" t="s">
        <v>2946</v>
      </c>
    </row>
    <row r="1132" spans="1:7" ht="15.75">
      <c r="A1132" s="1">
        <v>1131</v>
      </c>
      <c r="B1132" s="3" t="s">
        <v>2983</v>
      </c>
      <c r="C1132" s="1" t="s">
        <v>1206</v>
      </c>
      <c r="D1132" t="s">
        <v>2984</v>
      </c>
      <c r="E1132" t="str">
        <f t="shared" si="39"/>
        <v>ROD-SF-stern-8</v>
      </c>
      <c r="F1132" s="10" t="s">
        <v>9</v>
      </c>
      <c r="G1132" s="10" t="s">
        <v>2946</v>
      </c>
    </row>
    <row r="1133" spans="1:7" ht="15.75">
      <c r="A1133" s="1">
        <v>1132</v>
      </c>
      <c r="B1133" s="3" t="s">
        <v>2985</v>
      </c>
      <c r="C1133" s="1" t="s">
        <v>1206</v>
      </c>
      <c r="D1133" t="s">
        <v>2986</v>
      </c>
      <c r="E1133" t="str">
        <f t="shared" si="39"/>
        <v>ROD-SF-stern-9</v>
      </c>
      <c r="F1133" s="10" t="s">
        <v>30</v>
      </c>
      <c r="G1133" s="10" t="s">
        <v>2946</v>
      </c>
    </row>
    <row r="1134" spans="1:7" ht="15.75">
      <c r="A1134" s="1">
        <v>1133</v>
      </c>
      <c r="B1134" s="3" t="s">
        <v>2987</v>
      </c>
      <c r="C1134" s="1" t="s">
        <v>1206</v>
      </c>
      <c r="D1134" t="s">
        <v>2988</v>
      </c>
      <c r="E1134" t="str">
        <f t="shared" si="39"/>
        <v>ROD-SF-stern-10</v>
      </c>
      <c r="F1134" s="10" t="s">
        <v>30</v>
      </c>
    </row>
    <row r="1135" spans="1:7" ht="15.75">
      <c r="A1135" s="1">
        <v>1134</v>
      </c>
      <c r="B1135" s="3" t="s">
        <v>2989</v>
      </c>
      <c r="C1135" s="1" t="s">
        <v>1206</v>
      </c>
      <c r="D1135" t="s">
        <v>2990</v>
      </c>
      <c r="E1135" t="str">
        <f t="shared" si="39"/>
        <v>ROD-SF-stern-11</v>
      </c>
      <c r="F1135" s="10" t="s">
        <v>30</v>
      </c>
      <c r="G1135" s="10" t="s">
        <v>2951</v>
      </c>
    </row>
    <row r="1136" spans="1:7" ht="15.75">
      <c r="A1136" s="1">
        <v>1135</v>
      </c>
      <c r="B1136" s="3" t="s">
        <v>2991</v>
      </c>
      <c r="C1136" s="1" t="s">
        <v>1206</v>
      </c>
      <c r="D1136" t="s">
        <v>2992</v>
      </c>
      <c r="E1136" t="str">
        <f t="shared" si="39"/>
        <v>ROD-SF-stern-12</v>
      </c>
      <c r="F1136" s="10" t="s">
        <v>30</v>
      </c>
    </row>
    <row r="1137" spans="1:7" ht="15.75">
      <c r="A1137" s="1">
        <v>1136</v>
      </c>
      <c r="B1137" s="3" t="s">
        <v>2993</v>
      </c>
      <c r="C1137" s="1" t="s">
        <v>1206</v>
      </c>
      <c r="D1137" t="s">
        <v>2994</v>
      </c>
      <c r="E1137" t="str">
        <f t="shared" si="39"/>
        <v>ROD-SF-stern-13</v>
      </c>
      <c r="F1137" s="10" t="s">
        <v>26</v>
      </c>
      <c r="G1137" s="10" t="s">
        <v>2995</v>
      </c>
    </row>
    <row r="1138" spans="1:7" ht="15.75">
      <c r="A1138" s="1">
        <v>1137</v>
      </c>
      <c r="B1138" s="3" t="s">
        <v>2996</v>
      </c>
      <c r="C1138" s="1" t="s">
        <v>1206</v>
      </c>
      <c r="D1138" t="s">
        <v>2997</v>
      </c>
      <c r="E1138" t="str">
        <f t="shared" si="39"/>
        <v>ROD-SF-stern-14</v>
      </c>
      <c r="F1138" s="10" t="s">
        <v>35</v>
      </c>
      <c r="G1138" s="10" t="s">
        <v>2998</v>
      </c>
    </row>
    <row r="1139" spans="1:7" ht="15.75">
      <c r="A1139" s="1">
        <v>1138</v>
      </c>
      <c r="B1139" s="3" t="s">
        <v>2999</v>
      </c>
      <c r="C1139" s="1" t="s">
        <v>1206</v>
      </c>
      <c r="D1139" t="s">
        <v>3000</v>
      </c>
      <c r="E1139" t="str">
        <f t="shared" si="39"/>
        <v>ROD-SF-stern-15</v>
      </c>
      <c r="F1139" s="10" t="s">
        <v>65</v>
      </c>
      <c r="G1139" s="10" t="s">
        <v>3001</v>
      </c>
    </row>
    <row r="1140" spans="1:7" ht="15.75">
      <c r="A1140" s="1">
        <v>1139</v>
      </c>
      <c r="B1140" s="3" t="s">
        <v>3002</v>
      </c>
      <c r="C1140" s="1" t="s">
        <v>1206</v>
      </c>
      <c r="D1140" t="s">
        <v>3003</v>
      </c>
      <c r="E1140" t="str">
        <f t="shared" si="39"/>
        <v>ROD-SF-stern-16</v>
      </c>
      <c r="F1140" s="10" t="s">
        <v>65</v>
      </c>
    </row>
    <row r="1141" spans="1:7" ht="15.75">
      <c r="A1141" s="1">
        <v>1140</v>
      </c>
      <c r="B1141" s="3" t="s">
        <v>3004</v>
      </c>
      <c r="C1141" s="1" t="s">
        <v>1206</v>
      </c>
      <c r="D1141" t="s">
        <v>3005</v>
      </c>
      <c r="E1141" t="str">
        <f t="shared" si="39"/>
        <v>ROD-SF-stern-17</v>
      </c>
      <c r="F1141" s="10" t="s">
        <v>65</v>
      </c>
    </row>
    <row r="1142" spans="1:7">
      <c r="A1142" s="1">
        <v>1141</v>
      </c>
      <c r="B1142" s="3" t="s">
        <v>3006</v>
      </c>
      <c r="C1142" s="1" t="s">
        <v>1206</v>
      </c>
      <c r="D1142" t="s">
        <v>3007</v>
      </c>
      <c r="E1142" t="str">
        <f t="shared" ref="E1142:E1192" si="40">C1142&amp;D1142</f>
        <v>ROD-SF-mleg-1</v>
      </c>
      <c r="F1142" s="10" t="s">
        <v>35</v>
      </c>
      <c r="G1142" s="39" t="s">
        <v>1331</v>
      </c>
    </row>
    <row r="1143" spans="1:7">
      <c r="A1143" s="1">
        <v>1142</v>
      </c>
      <c r="B1143" s="3" t="s">
        <v>3008</v>
      </c>
      <c r="C1143" s="1" t="s">
        <v>1206</v>
      </c>
      <c r="D1143" t="s">
        <v>3009</v>
      </c>
      <c r="E1143" t="str">
        <f t="shared" si="40"/>
        <v>ROD-SF-mleg-2</v>
      </c>
      <c r="F1143" s="10" t="s">
        <v>35</v>
      </c>
      <c r="G1143" s="39" t="s">
        <v>1331</v>
      </c>
    </row>
    <row r="1144" spans="1:7">
      <c r="A1144" s="1">
        <v>1143</v>
      </c>
      <c r="B1144" s="3" t="s">
        <v>3010</v>
      </c>
      <c r="C1144" s="1" t="s">
        <v>1206</v>
      </c>
      <c r="D1144" t="s">
        <v>3011</v>
      </c>
      <c r="E1144" t="str">
        <f t="shared" ref="E1144:E1147" si="41">C1144&amp;D1144</f>
        <v>ROD-SF-mleg-3</v>
      </c>
      <c r="F1144" s="10" t="s">
        <v>35</v>
      </c>
      <c r="G1144" s="39" t="s">
        <v>1331</v>
      </c>
    </row>
    <row r="1145" spans="1:7">
      <c r="A1145" s="1">
        <v>1144</v>
      </c>
      <c r="B1145" s="3" t="s">
        <v>3012</v>
      </c>
      <c r="C1145" s="1" t="s">
        <v>1206</v>
      </c>
      <c r="D1145" t="s">
        <v>3013</v>
      </c>
      <c r="E1145" t="str">
        <f t="shared" si="41"/>
        <v>ROD-SF-mleg-4</v>
      </c>
      <c r="F1145" s="10" t="s">
        <v>35</v>
      </c>
      <c r="G1145" s="39" t="s">
        <v>1331</v>
      </c>
    </row>
    <row r="1146" spans="1:7" ht="15.75">
      <c r="A1146" s="1">
        <v>1145</v>
      </c>
      <c r="B1146" s="3" t="s">
        <v>3014</v>
      </c>
      <c r="C1146" s="1" t="s">
        <v>1206</v>
      </c>
      <c r="D1146" t="s">
        <v>3015</v>
      </c>
      <c r="E1146" t="str">
        <f t="shared" si="41"/>
        <v>ROD-SF-mleg-5</v>
      </c>
      <c r="F1146" s="10" t="s">
        <v>35</v>
      </c>
      <c r="G1146" s="39" t="s">
        <v>1331</v>
      </c>
    </row>
    <row r="1147" spans="1:7" ht="15.75">
      <c r="A1147" s="1">
        <v>1146</v>
      </c>
      <c r="B1147" s="3" t="s">
        <v>3016</v>
      </c>
      <c r="C1147" s="1" t="s">
        <v>1206</v>
      </c>
      <c r="D1147" t="s">
        <v>3017</v>
      </c>
      <c r="E1147" t="str">
        <f t="shared" si="41"/>
        <v>ROD-SF-mleg-6</v>
      </c>
      <c r="F1147" s="10" t="s">
        <v>35</v>
      </c>
      <c r="G1147" s="39" t="s">
        <v>1331</v>
      </c>
    </row>
    <row r="1148" spans="1:7" ht="15.75">
      <c r="A1148" s="1">
        <v>1147</v>
      </c>
      <c r="B1148" s="3" t="s">
        <v>3018</v>
      </c>
      <c r="C1148" s="1" t="s">
        <v>1206</v>
      </c>
      <c r="D1148" t="s">
        <v>3019</v>
      </c>
      <c r="E1148" t="str">
        <f t="shared" si="40"/>
        <v>ROD-SF-proleg-16</v>
      </c>
      <c r="F1148" s="10">
        <v>5</v>
      </c>
      <c r="G1148" s="39" t="s">
        <v>1331</v>
      </c>
    </row>
    <row r="1149" spans="1:7" ht="15.75">
      <c r="A1149" s="1">
        <v>1148</v>
      </c>
      <c r="B1149" s="3" t="s">
        <v>3020</v>
      </c>
      <c r="C1149" s="1" t="s">
        <v>1206</v>
      </c>
      <c r="D1149" t="s">
        <v>3021</v>
      </c>
      <c r="E1149" t="str">
        <f t="shared" si="40"/>
        <v>ROD-SF-proleg-17</v>
      </c>
      <c r="F1149" s="10" t="s">
        <v>26</v>
      </c>
      <c r="G1149" s="39" t="s">
        <v>1331</v>
      </c>
    </row>
    <row r="1150" spans="1:7" ht="15.75">
      <c r="A1150" s="1">
        <v>1149</v>
      </c>
      <c r="B1150" s="3" t="s">
        <v>3022</v>
      </c>
      <c r="C1150" s="1" t="s">
        <v>1206</v>
      </c>
      <c r="D1150" t="s">
        <v>3023</v>
      </c>
      <c r="E1150" t="str">
        <f t="shared" si="40"/>
        <v>ROD-SF-proleg-18</v>
      </c>
      <c r="F1150" s="10" t="s">
        <v>65</v>
      </c>
      <c r="G1150" s="39" t="s">
        <v>1331</v>
      </c>
    </row>
    <row r="1151" spans="1:7">
      <c r="A1151" s="1">
        <v>1150</v>
      </c>
      <c r="B1151" s="3" t="s">
        <v>3024</v>
      </c>
      <c r="C1151" s="1" t="s">
        <v>1206</v>
      </c>
      <c r="D1151" t="s">
        <v>3025</v>
      </c>
      <c r="E1151" t="str">
        <f t="shared" si="40"/>
        <v>ROD-SF-proleg-19</v>
      </c>
      <c r="F1151" s="10" t="s">
        <v>65</v>
      </c>
      <c r="G1151" s="39" t="s">
        <v>1331</v>
      </c>
    </row>
    <row r="1152" spans="1:7">
      <c r="A1152" s="1">
        <v>1151</v>
      </c>
      <c r="B1152" s="3" t="s">
        <v>3026</v>
      </c>
      <c r="C1152" s="1" t="s">
        <v>1206</v>
      </c>
      <c r="D1152" t="s">
        <v>3027</v>
      </c>
      <c r="E1152" t="str">
        <f t="shared" si="40"/>
        <v>ROD-SF-proleg-20</v>
      </c>
      <c r="F1152" s="10" t="s">
        <v>35</v>
      </c>
      <c r="G1152" s="39" t="s">
        <v>1331</v>
      </c>
    </row>
    <row r="1153" spans="1:7">
      <c r="A1153" s="1">
        <v>1152</v>
      </c>
      <c r="B1153" s="3" t="s">
        <v>3028</v>
      </c>
      <c r="C1153" s="1" t="s">
        <v>1206</v>
      </c>
      <c r="D1153" t="s">
        <v>3029</v>
      </c>
      <c r="E1153" t="str">
        <f t="shared" si="40"/>
        <v>ROD-SF-proleg-21</v>
      </c>
      <c r="F1153" s="10" t="s">
        <v>35</v>
      </c>
      <c r="G1153" s="39" t="s">
        <v>1331</v>
      </c>
    </row>
    <row r="1154" spans="1:7">
      <c r="A1154" s="1">
        <v>1153</v>
      </c>
      <c r="B1154" s="3" t="s">
        <v>3030</v>
      </c>
      <c r="C1154" s="1" t="s">
        <v>1206</v>
      </c>
      <c r="D1154" t="s">
        <v>3031</v>
      </c>
      <c r="E1154" t="str">
        <f t="shared" si="40"/>
        <v>ROD-SF-proleg-22</v>
      </c>
      <c r="F1154" s="10" t="s">
        <v>35</v>
      </c>
      <c r="G1154" s="39" t="s">
        <v>1331</v>
      </c>
    </row>
    <row r="1155" spans="1:7">
      <c r="A1155" s="1">
        <v>1154</v>
      </c>
      <c r="B1155" s="3" t="s">
        <v>3032</v>
      </c>
      <c r="C1155" s="1" t="s">
        <v>1206</v>
      </c>
      <c r="D1155" t="s">
        <v>3033</v>
      </c>
      <c r="E1155" t="str">
        <f t="shared" si="40"/>
        <v>ROD-SF-proleg-23</v>
      </c>
      <c r="F1155" s="10" t="s">
        <v>65</v>
      </c>
      <c r="G1155" s="39" t="s">
        <v>1331</v>
      </c>
    </row>
    <row r="1156" spans="1:7">
      <c r="A1156" s="1">
        <v>1155</v>
      </c>
      <c r="B1156" s="3" t="s">
        <v>3034</v>
      </c>
      <c r="C1156" s="1" t="s">
        <v>1206</v>
      </c>
      <c r="D1156" t="s">
        <v>3035</v>
      </c>
      <c r="E1156" t="str">
        <f t="shared" si="40"/>
        <v>ROD-SF-proleg-24</v>
      </c>
      <c r="F1156" s="10" t="s">
        <v>35</v>
      </c>
      <c r="G1156" s="39" t="s">
        <v>1331</v>
      </c>
    </row>
    <row r="1157" spans="1:7">
      <c r="A1157" s="1">
        <v>1156</v>
      </c>
      <c r="B1157" s="3" t="s">
        <v>3036</v>
      </c>
      <c r="C1157" s="1" t="s">
        <v>1206</v>
      </c>
      <c r="D1157" t="s">
        <v>3037</v>
      </c>
      <c r="E1157" t="str">
        <f t="shared" si="40"/>
        <v>ROD-SF-proleg-25</v>
      </c>
      <c r="F1157" s="10" t="s">
        <v>35</v>
      </c>
      <c r="G1157" s="39" t="s">
        <v>3038</v>
      </c>
    </row>
    <row r="1158" spans="1:7">
      <c r="A1158" s="1">
        <v>1157</v>
      </c>
      <c r="B1158" s="3" t="s">
        <v>3039</v>
      </c>
      <c r="C1158" s="1" t="s">
        <v>1206</v>
      </c>
      <c r="D1158" t="s">
        <v>3040</v>
      </c>
      <c r="E1158" t="str">
        <f t="shared" si="40"/>
        <v>ROD-SF-proleg-26</v>
      </c>
      <c r="F1158" s="10" t="s">
        <v>35</v>
      </c>
      <c r="G1158" s="39" t="s">
        <v>3038</v>
      </c>
    </row>
    <row r="1159" spans="1:7">
      <c r="A1159" s="1">
        <v>1158</v>
      </c>
      <c r="B1159" s="3" t="s">
        <v>3041</v>
      </c>
      <c r="C1159" s="1" t="s">
        <v>1206</v>
      </c>
      <c r="D1159" t="s">
        <v>3042</v>
      </c>
      <c r="E1159" t="str">
        <f t="shared" si="40"/>
        <v>ROD-SF-proleg-27</v>
      </c>
      <c r="F1159" s="10" t="s">
        <v>35</v>
      </c>
      <c r="G1159" s="39" t="s">
        <v>3038</v>
      </c>
    </row>
    <row r="1160" spans="1:7">
      <c r="A1160" s="1">
        <v>1159</v>
      </c>
      <c r="B1160" s="3" t="s">
        <v>3043</v>
      </c>
      <c r="C1160" s="1" t="s">
        <v>1206</v>
      </c>
      <c r="D1160" t="s">
        <v>3044</v>
      </c>
      <c r="E1160" t="str">
        <f t="shared" si="40"/>
        <v>ROD-SF-proleg-28</v>
      </c>
      <c r="F1160" s="10" t="s">
        <v>35</v>
      </c>
      <c r="G1160" s="39" t="s">
        <v>3045</v>
      </c>
    </row>
    <row r="1161" spans="1:7">
      <c r="A1161" s="1">
        <v>1160</v>
      </c>
      <c r="B1161" s="3" t="s">
        <v>3046</v>
      </c>
      <c r="C1161" s="1" t="s">
        <v>1206</v>
      </c>
      <c r="D1161" t="s">
        <v>3047</v>
      </c>
      <c r="E1161" t="str">
        <f t="shared" si="40"/>
        <v>ROD-SF-proleg-29</v>
      </c>
      <c r="F1161" s="10" t="s">
        <v>35</v>
      </c>
      <c r="G1161" s="39" t="s">
        <v>3045</v>
      </c>
    </row>
    <row r="1162" spans="1:7">
      <c r="A1162" s="1">
        <v>1161</v>
      </c>
      <c r="B1162" s="3" t="s">
        <v>3048</v>
      </c>
      <c r="C1162" s="1" t="s">
        <v>1206</v>
      </c>
      <c r="D1162" t="s">
        <v>3049</v>
      </c>
      <c r="E1162" t="str">
        <f t="shared" si="40"/>
        <v>ROD-SF-proleg-30</v>
      </c>
      <c r="F1162" s="10" t="s">
        <v>35</v>
      </c>
      <c r="G1162" s="39" t="s">
        <v>1331</v>
      </c>
    </row>
    <row r="1163" spans="1:7">
      <c r="A1163" s="1">
        <v>1162</v>
      </c>
      <c r="B1163" s="3" t="s">
        <v>3050</v>
      </c>
      <c r="C1163" s="1" t="s">
        <v>1206</v>
      </c>
      <c r="D1163" t="s">
        <v>3051</v>
      </c>
      <c r="E1163" t="str">
        <f t="shared" si="40"/>
        <v>ROD-SF-proleg-31</v>
      </c>
      <c r="F1163" s="10" t="s">
        <v>35</v>
      </c>
      <c r="G1163" s="39" t="s">
        <v>1331</v>
      </c>
    </row>
    <row r="1164" spans="1:7">
      <c r="A1164" s="1">
        <v>1163</v>
      </c>
      <c r="B1164" s="3" t="s">
        <v>3052</v>
      </c>
      <c r="C1164" s="1" t="s">
        <v>1206</v>
      </c>
      <c r="D1164" t="s">
        <v>3053</v>
      </c>
      <c r="E1164" t="str">
        <f t="shared" si="40"/>
        <v>ROD-SF-proleg-32</v>
      </c>
      <c r="F1164" s="10" t="s">
        <v>35</v>
      </c>
      <c r="G1164" s="39" t="s">
        <v>1331</v>
      </c>
    </row>
    <row r="1165" spans="1:7">
      <c r="A1165" s="1">
        <v>1164</v>
      </c>
      <c r="B1165" s="3" t="s">
        <v>3054</v>
      </c>
      <c r="C1165" s="1" t="s">
        <v>1206</v>
      </c>
      <c r="D1165" t="s">
        <v>3055</v>
      </c>
      <c r="E1165" t="str">
        <f t="shared" si="40"/>
        <v>ROD-SF-proleg-33</v>
      </c>
      <c r="F1165" s="10" t="s">
        <v>35</v>
      </c>
      <c r="G1165" s="39" t="s">
        <v>1331</v>
      </c>
    </row>
    <row r="1166" spans="1:7">
      <c r="A1166" s="1">
        <v>1165</v>
      </c>
      <c r="B1166" s="3" t="s">
        <v>3056</v>
      </c>
      <c r="C1166" s="1" t="s">
        <v>1206</v>
      </c>
      <c r="D1166" t="s">
        <v>3057</v>
      </c>
      <c r="E1166" t="str">
        <f t="shared" si="40"/>
        <v>ROD-SF-proleg-34</v>
      </c>
      <c r="F1166" s="10" t="s">
        <v>35</v>
      </c>
      <c r="G1166" s="39" t="s">
        <v>1331</v>
      </c>
    </row>
    <row r="1167" spans="1:7">
      <c r="A1167" s="1">
        <v>1166</v>
      </c>
      <c r="B1167" s="3" t="s">
        <v>3058</v>
      </c>
      <c r="C1167" s="1" t="s">
        <v>1206</v>
      </c>
      <c r="D1167" t="s">
        <v>3059</v>
      </c>
      <c r="E1167" t="str">
        <f t="shared" si="40"/>
        <v>ROD-SF-proleg-35</v>
      </c>
      <c r="F1167" s="10" t="s">
        <v>35</v>
      </c>
      <c r="G1167" s="39" t="s">
        <v>1331</v>
      </c>
    </row>
    <row r="1168" spans="1:7">
      <c r="A1168" s="1">
        <v>1167</v>
      </c>
      <c r="B1168" s="3" t="s">
        <v>3060</v>
      </c>
      <c r="C1168" s="1" t="s">
        <v>1206</v>
      </c>
      <c r="D1168" t="s">
        <v>3061</v>
      </c>
      <c r="E1168" t="str">
        <f t="shared" si="40"/>
        <v>ROD-SF-proleg-36</v>
      </c>
      <c r="F1168" s="10" t="s">
        <v>35</v>
      </c>
      <c r="G1168" s="39" t="s">
        <v>1331</v>
      </c>
    </row>
    <row r="1169" spans="1:7">
      <c r="A1169" s="1">
        <v>1168</v>
      </c>
      <c r="B1169" s="3" t="s">
        <v>3062</v>
      </c>
      <c r="C1169" s="1" t="s">
        <v>1206</v>
      </c>
      <c r="D1169" t="s">
        <v>3063</v>
      </c>
      <c r="E1169" t="str">
        <f t="shared" si="40"/>
        <v>ROD-SF-proleg-37</v>
      </c>
      <c r="F1169" s="10" t="s">
        <v>35</v>
      </c>
      <c r="G1169" s="39" t="s">
        <v>1331</v>
      </c>
    </row>
    <row r="1170" spans="1:7">
      <c r="A1170" s="1">
        <v>1169</v>
      </c>
      <c r="B1170" s="3" t="s">
        <v>3064</v>
      </c>
      <c r="C1170" s="1" t="s">
        <v>1206</v>
      </c>
      <c r="D1170" t="s">
        <v>3065</v>
      </c>
      <c r="E1170" t="str">
        <f t="shared" si="40"/>
        <v>ROD-SF-proleg-38</v>
      </c>
      <c r="F1170" s="10" t="s">
        <v>35</v>
      </c>
      <c r="G1170" s="39" t="s">
        <v>1331</v>
      </c>
    </row>
    <row r="1171" spans="1:7">
      <c r="A1171" s="1">
        <v>1170</v>
      </c>
      <c r="B1171" s="3" t="s">
        <v>3066</v>
      </c>
      <c r="C1171" s="1" t="s">
        <v>1206</v>
      </c>
      <c r="D1171" t="s">
        <v>3067</v>
      </c>
      <c r="E1171" t="str">
        <f t="shared" si="40"/>
        <v>ROD-SF-proleg-39</v>
      </c>
      <c r="F1171" s="10" t="s">
        <v>35</v>
      </c>
      <c r="G1171" s="39" t="s">
        <v>1331</v>
      </c>
    </row>
    <row r="1172" spans="1:7">
      <c r="A1172" s="1">
        <v>1171</v>
      </c>
      <c r="B1172" s="3" t="s">
        <v>3068</v>
      </c>
      <c r="C1172" s="1" t="s">
        <v>1206</v>
      </c>
      <c r="D1172" t="s">
        <v>3069</v>
      </c>
      <c r="E1172" t="str">
        <f t="shared" si="40"/>
        <v>ROD-SF-proleg-40</v>
      </c>
      <c r="F1172" s="10" t="s">
        <v>35</v>
      </c>
      <c r="G1172" s="39" t="s">
        <v>1331</v>
      </c>
    </row>
    <row r="1173" spans="1:7">
      <c r="A1173" s="1">
        <v>1172</v>
      </c>
      <c r="B1173" s="3" t="s">
        <v>3070</v>
      </c>
      <c r="C1173" s="1" t="s">
        <v>1206</v>
      </c>
      <c r="D1173" t="s">
        <v>3071</v>
      </c>
      <c r="E1173" t="str">
        <f t="shared" si="40"/>
        <v>ROD-SF-proleg-41</v>
      </c>
      <c r="F1173" s="10" t="s">
        <v>35</v>
      </c>
      <c r="G1173" s="39" t="s">
        <v>2148</v>
      </c>
    </row>
    <row r="1174" spans="1:7">
      <c r="A1174" s="1">
        <v>1173</v>
      </c>
      <c r="B1174" s="3" t="s">
        <v>3072</v>
      </c>
      <c r="C1174" s="1" t="s">
        <v>1206</v>
      </c>
      <c r="D1174" t="s">
        <v>3073</v>
      </c>
      <c r="E1174" t="str">
        <f t="shared" si="40"/>
        <v>ROD-SF-proleg-42</v>
      </c>
      <c r="F1174" s="10" t="s">
        <v>35</v>
      </c>
      <c r="G1174" s="39" t="s">
        <v>2946</v>
      </c>
    </row>
    <row r="1175" spans="1:7" ht="15.75">
      <c r="A1175" s="1">
        <v>1174</v>
      </c>
      <c r="B1175" s="3" t="s">
        <v>3074</v>
      </c>
      <c r="C1175" s="1" t="s">
        <v>1206</v>
      </c>
      <c r="D1175" t="s">
        <v>3075</v>
      </c>
      <c r="E1175" t="str">
        <f t="shared" si="40"/>
        <v>ROD-SF-proleg-43</v>
      </c>
      <c r="F1175" s="10" t="s">
        <v>35</v>
      </c>
      <c r="G1175" s="39" t="s">
        <v>1331</v>
      </c>
    </row>
    <row r="1176" spans="1:7" ht="15.75">
      <c r="A1176" s="1">
        <v>1175</v>
      </c>
      <c r="B1176" s="3" t="s">
        <v>3076</v>
      </c>
      <c r="C1176" s="1" t="s">
        <v>1206</v>
      </c>
      <c r="D1176" t="s">
        <v>3077</v>
      </c>
      <c r="E1176" t="str">
        <f t="shared" si="40"/>
        <v>ROD-SF-proleg-44</v>
      </c>
      <c r="F1176" s="10" t="s">
        <v>35</v>
      </c>
      <c r="G1176" s="39" t="s">
        <v>2951</v>
      </c>
    </row>
    <row r="1177" spans="1:7">
      <c r="A1177" s="1">
        <v>1176</v>
      </c>
      <c r="B1177" s="3" t="s">
        <v>3078</v>
      </c>
      <c r="C1177" s="1" t="s">
        <v>1206</v>
      </c>
      <c r="D1177" t="s">
        <v>3079</v>
      </c>
      <c r="E1177" t="str">
        <f t="shared" si="40"/>
        <v>ROD-SF-proleg-45</v>
      </c>
      <c r="G1177" s="39" t="s">
        <v>1331</v>
      </c>
    </row>
    <row r="1178" spans="1:7">
      <c r="A1178" s="1">
        <v>1177</v>
      </c>
      <c r="B1178" s="3" t="s">
        <v>3080</v>
      </c>
      <c r="C1178" s="1" t="s">
        <v>1206</v>
      </c>
      <c r="D1178" t="s">
        <v>3081</v>
      </c>
      <c r="E1178" t="str">
        <f t="shared" si="40"/>
        <v>ROD-SF-proleg-46</v>
      </c>
      <c r="G1178" s="39" t="s">
        <v>1331</v>
      </c>
    </row>
    <row r="1179" spans="1:7">
      <c r="A1179" s="1">
        <v>1178</v>
      </c>
      <c r="B1179" s="3" t="s">
        <v>3082</v>
      </c>
      <c r="C1179" s="1" t="s">
        <v>1206</v>
      </c>
      <c r="D1179" t="s">
        <v>3083</v>
      </c>
      <c r="E1179" t="str">
        <f t="shared" si="40"/>
        <v>ROD-SF-proleg-47</v>
      </c>
      <c r="G1179" s="39" t="s">
        <v>1331</v>
      </c>
    </row>
    <row r="1180" spans="1:7">
      <c r="A1180" s="1">
        <v>1179</v>
      </c>
      <c r="B1180" s="3" t="s">
        <v>3084</v>
      </c>
      <c r="C1180" s="1" t="s">
        <v>1206</v>
      </c>
      <c r="D1180" t="s">
        <v>3085</v>
      </c>
      <c r="E1180" t="str">
        <f t="shared" si="40"/>
        <v>ROD-SF-proleg-48</v>
      </c>
      <c r="G1180" s="39" t="s">
        <v>1331</v>
      </c>
    </row>
    <row r="1181" spans="1:7">
      <c r="A1181" s="1">
        <v>1180</v>
      </c>
      <c r="B1181" s="3" t="s">
        <v>3086</v>
      </c>
      <c r="C1181" s="1" t="s">
        <v>1206</v>
      </c>
      <c r="D1181" t="s">
        <v>3087</v>
      </c>
      <c r="E1181" t="str">
        <f t="shared" si="40"/>
        <v>ROD-SF-proleg-49</v>
      </c>
      <c r="G1181" s="39" t="s">
        <v>1331</v>
      </c>
    </row>
    <row r="1182" spans="1:7">
      <c r="A1182" s="1">
        <v>1181</v>
      </c>
      <c r="B1182" s="3" t="s">
        <v>3088</v>
      </c>
      <c r="C1182" s="1" t="s">
        <v>1206</v>
      </c>
      <c r="D1182" t="s">
        <v>3089</v>
      </c>
      <c r="E1182" t="str">
        <f t="shared" si="40"/>
        <v>ROD-SF-proleg-50</v>
      </c>
      <c r="G1182" s="39" t="s">
        <v>1331</v>
      </c>
    </row>
    <row r="1183" spans="1:7">
      <c r="A1183" s="1">
        <v>1182</v>
      </c>
      <c r="B1183" s="3" t="s">
        <v>3090</v>
      </c>
      <c r="C1183" s="1" t="s">
        <v>1206</v>
      </c>
      <c r="D1183" t="s">
        <v>3091</v>
      </c>
      <c r="E1183" t="str">
        <f t="shared" ref="E1183:E1184" si="42">C1183&amp;D1183</f>
        <v>ROD-SF-proleg-51</v>
      </c>
      <c r="F1183" s="10" t="s">
        <v>35</v>
      </c>
      <c r="G1183" s="39" t="s">
        <v>1331</v>
      </c>
    </row>
    <row r="1184" spans="1:7" ht="15.75">
      <c r="A1184" s="1">
        <v>1183</v>
      </c>
      <c r="B1184" s="3" t="s">
        <v>3092</v>
      </c>
      <c r="C1184" s="1" t="s">
        <v>1206</v>
      </c>
      <c r="D1184" t="s">
        <v>3093</v>
      </c>
      <c r="E1184" t="str">
        <f t="shared" si="42"/>
        <v>ROD-SF-proleg-52</v>
      </c>
      <c r="F1184" s="10" t="s">
        <v>35</v>
      </c>
      <c r="G1184" s="10" t="s">
        <v>3094</v>
      </c>
    </row>
    <row r="1185" spans="1:7">
      <c r="A1185" s="1">
        <v>1184</v>
      </c>
      <c r="B1185" s="3" t="s">
        <v>3095</v>
      </c>
      <c r="C1185" s="1" t="s">
        <v>1206</v>
      </c>
      <c r="D1185" t="s">
        <v>3096</v>
      </c>
      <c r="E1185" t="str">
        <f t="shared" si="40"/>
        <v>ROD-SF-mouthpart-1</v>
      </c>
      <c r="G1185" s="39" t="s">
        <v>3097</v>
      </c>
    </row>
    <row r="1186" spans="1:7">
      <c r="A1186" s="1">
        <v>1185</v>
      </c>
      <c r="B1186" s="3" t="s">
        <v>3098</v>
      </c>
      <c r="C1186" s="1" t="s">
        <v>1206</v>
      </c>
      <c r="D1186" t="s">
        <v>3099</v>
      </c>
      <c r="E1186" t="str">
        <f t="shared" si="40"/>
        <v>ROD-SF-unknown-1</v>
      </c>
      <c r="G1186" s="39" t="s">
        <v>1331</v>
      </c>
    </row>
    <row r="1187" spans="1:7">
      <c r="A1187" s="1">
        <v>1186</v>
      </c>
      <c r="B1187" s="3" t="s">
        <v>3100</v>
      </c>
      <c r="C1187" s="1" t="s">
        <v>1206</v>
      </c>
      <c r="D1187" t="s">
        <v>3101</v>
      </c>
      <c r="E1187" t="str">
        <f t="shared" si="40"/>
        <v>ROD-SF-unknown-2</v>
      </c>
      <c r="G1187" s="39" t="s">
        <v>1331</v>
      </c>
    </row>
    <row r="1188" spans="1:7">
      <c r="A1188" s="1">
        <v>1187</v>
      </c>
      <c r="B1188" s="3" t="s">
        <v>3102</v>
      </c>
      <c r="C1188" s="1" t="s">
        <v>1206</v>
      </c>
      <c r="D1188" t="s">
        <v>3103</v>
      </c>
      <c r="E1188" t="str">
        <f t="shared" si="40"/>
        <v>ROD-SF-unknown-3</v>
      </c>
      <c r="G1188" s="39" t="s">
        <v>1331</v>
      </c>
    </row>
    <row r="1189" spans="1:7">
      <c r="A1189" s="1">
        <v>1188</v>
      </c>
      <c r="B1189" s="3" t="s">
        <v>3104</v>
      </c>
      <c r="C1189" s="1" t="s">
        <v>1206</v>
      </c>
      <c r="D1189" t="s">
        <v>3105</v>
      </c>
      <c r="E1189" t="str">
        <f t="shared" si="40"/>
        <v>ROD-SF-unknown-4</v>
      </c>
      <c r="G1189" s="39" t="s">
        <v>1331</v>
      </c>
    </row>
    <row r="1190" spans="1:7">
      <c r="A1190" s="1">
        <v>1189</v>
      </c>
      <c r="B1190" s="3" t="s">
        <v>3106</v>
      </c>
      <c r="C1190" s="1" t="s">
        <v>1206</v>
      </c>
      <c r="D1190" t="s">
        <v>3107</v>
      </c>
      <c r="E1190" t="str">
        <f t="shared" si="40"/>
        <v>ROD-SF-unknown-5</v>
      </c>
      <c r="G1190" s="39" t="s">
        <v>1331</v>
      </c>
    </row>
    <row r="1191" spans="1:7">
      <c r="A1191" s="1">
        <v>1190</v>
      </c>
      <c r="B1191" s="3" t="s">
        <v>3108</v>
      </c>
      <c r="C1191" s="1" t="s">
        <v>1206</v>
      </c>
      <c r="D1191" t="s">
        <v>3109</v>
      </c>
      <c r="E1191" t="str">
        <f t="shared" si="40"/>
        <v>ROD-SF-unknown-6</v>
      </c>
      <c r="G1191" s="39" t="s">
        <v>1331</v>
      </c>
    </row>
    <row r="1192" spans="1:7">
      <c r="A1192" s="1">
        <v>1191</v>
      </c>
      <c r="B1192" s="3" t="s">
        <v>3110</v>
      </c>
      <c r="C1192" s="1" t="s">
        <v>1206</v>
      </c>
      <c r="D1192" t="s">
        <v>3111</v>
      </c>
      <c r="E1192" t="str">
        <f t="shared" si="40"/>
        <v>ROD-SF-unknown-7</v>
      </c>
      <c r="G1192" s="39" t="s">
        <v>1331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0ecbd1-1a71-40ea-99dd-a1a59806335e">
      <Terms xmlns="http://schemas.microsoft.com/office/infopath/2007/PartnerControls"/>
    </lcf76f155ced4ddcb4097134ff3c332f>
    <TaxCatchAll xmlns="0a4b9f35-88d7-4d38-ac24-82ecdaf1b2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4E5ECE887F0B438E98B7C92C665EE5" ma:contentTypeVersion="17" ma:contentTypeDescription="Create a new document." ma:contentTypeScope="" ma:versionID="2d0de2a413350418cad6960a80b0fcd0">
  <xsd:schema xmlns:xsd="http://www.w3.org/2001/XMLSchema" xmlns:xs="http://www.w3.org/2001/XMLSchema" xmlns:p="http://schemas.microsoft.com/office/2006/metadata/properties" xmlns:ns2="da0ecbd1-1a71-40ea-99dd-a1a59806335e" xmlns:ns3="0a4b9f35-88d7-4d38-ac24-82ecdaf1b211" targetNamespace="http://schemas.microsoft.com/office/2006/metadata/properties" ma:root="true" ma:fieldsID="10cde41646eb2ec5fef9a3e8a94b422a" ns2:_="" ns3:_="">
    <xsd:import namespace="da0ecbd1-1a71-40ea-99dd-a1a59806335e"/>
    <xsd:import namespace="0a4b9f35-88d7-4d38-ac24-82ecdaf1b2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ecbd1-1a71-40ea-99dd-a1a5980633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b9f35-88d7-4d38-ac24-82ecdaf1b2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dde4f6-4a1a-48b5-840b-2716ea165caf}" ma:internalName="TaxCatchAll" ma:showField="CatchAllData" ma:web="0a4b9f35-88d7-4d38-ac24-82ecdaf1b2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4C0C6D-D99A-41B8-9EA3-9DC64C4C9E48}"/>
</file>

<file path=customXml/itemProps2.xml><?xml version="1.0" encoding="utf-8"?>
<ds:datastoreItem xmlns:ds="http://schemas.openxmlformats.org/officeDocument/2006/customXml" ds:itemID="{EE81CB5B-0432-481A-B0DC-AFDF9EAD38FB}"/>
</file>

<file path=customXml/itemProps3.xml><?xml version="1.0" encoding="utf-8"?>
<ds:datastoreItem xmlns:ds="http://schemas.openxmlformats.org/officeDocument/2006/customXml" ds:itemID="{D1B09F31-ADF1-48B4-BB68-EB4A3C82F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Losacco, Federica</cp:lastModifiedBy>
  <cp:revision/>
  <dcterms:created xsi:type="dcterms:W3CDTF">2022-08-16T08:30:12Z</dcterms:created>
  <dcterms:modified xsi:type="dcterms:W3CDTF">2023-03-31T13:01:06Z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0x0101007A4E5ECE887F0B438E98B7C92C665EE5</vt:lpwstr>
  </property>
  <property fmtid="{D5CDD505-2E9C-101B-9397-08002B2CF9AE}" pid="3" name="MediaServiceImageTags">
    <vt:lpwstr/>
  </property>
</Properties>
</file>